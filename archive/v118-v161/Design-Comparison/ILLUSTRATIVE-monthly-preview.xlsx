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24.xml" ContentType="application/vnd.openxmlformats-officedocument.spreadsheetml.table+xml"/>
  <Override PartName="/xl/worksheets/sheet7.xml" ContentType="application/vnd.openxmlformats-officedocument.spreadsheetml.worksheet+xml"/>
  <Override PartName="/xl/tables/table25.xml" ContentType="application/vnd.openxmlformats-officedocument.spreadsheetml.table+xml"/>
  <Override PartName="/xl/worksheets/sheet8.xml" ContentType="application/vnd.openxmlformats-officedocument.spreadsheetml.worksheet+xml"/>
  <Override PartName="/xl/tables/table26.xml" ContentType="application/vnd.openxmlformats-officedocument.spreadsheetml.table+xml"/>
  <Override PartName="/xl/worksheets/sheet9.xml" ContentType="application/vnd.openxmlformats-officedocument.spreadsheetml.worksheet+xml"/>
  <Override PartName="/xl/tables/table27.xml" ContentType="application/vnd.openxmlformats-officedocument.spreadsheetml.table+xml"/>
  <Override PartName="/xl/worksheets/sheet10.xml" ContentType="application/vnd.openxmlformats-officedocument.spreadsheetml.worksheet+xml"/>
  <Override PartName="/xl/tables/table28.xml" ContentType="application/vnd.openxmlformats-officedocument.spreadsheetml.table+xml"/>
  <Override PartName="/xl/worksheets/sheet11.xml" ContentType="application/vnd.openxmlformats-officedocument.spreadsheetml.worksheet+xml"/>
  <Override PartName="/xl/tables/table29.xml" ContentType="application/vnd.openxmlformats-officedocument.spreadsheetml.table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802" firstSheet="0" activeTab="3" autoFilterDateGrouping="1"/>
  </bookViews>
  <sheets>
    <sheet xmlns:r="http://schemas.openxmlformats.org/officeDocument/2006/relationships" name="Idea" sheetId="1" state="visible" r:id="rId1"/>
    <sheet xmlns:r="http://schemas.openxmlformats.org/officeDocument/2006/relationships" name="List of Values" sheetId="2" state="visible" r:id="rId2"/>
    <sheet xmlns:r="http://schemas.openxmlformats.org/officeDocument/2006/relationships" name="Search" sheetId="3" state="visible" r:id="rId3"/>
    <sheet xmlns:r="http://schemas.openxmlformats.org/officeDocument/2006/relationships" name="Performance" sheetId="4" state="visible" r:id="rId4"/>
    <sheet xmlns:r="http://schemas.openxmlformats.org/officeDocument/2006/relationships" name="Logic" sheetId="5" state="visible" r:id="rId5"/>
    <sheet xmlns:r="http://schemas.openxmlformats.org/officeDocument/2006/relationships" name="المشاريع_الخاصة" sheetId="6" state="visible" r:id="rId6"/>
    <sheet xmlns:r="http://schemas.openxmlformats.org/officeDocument/2006/relationships" name="مشاريع_الأمانة" sheetId="7" state="visible" r:id="rId7"/>
    <sheet xmlns:r="http://schemas.openxmlformats.org/officeDocument/2006/relationships" name="الأجندة_السنوية" sheetId="8" state="visible" r:id="rId8"/>
    <sheet xmlns:r="http://schemas.openxmlformats.org/officeDocument/2006/relationships" name="القرارات" sheetId="9" state="visible" r:id="rId9"/>
    <sheet xmlns:r="http://schemas.openxmlformats.org/officeDocument/2006/relationships" name="التشريعات" sheetId="10" state="visible" r:id="rId10"/>
    <sheet xmlns:r="http://schemas.openxmlformats.org/officeDocument/2006/relationships" name="استراتيجية_الأمانة" sheetId="11" state="visible" r:id="rId11"/>
    <sheet xmlns:r="http://schemas.openxmlformats.org/officeDocument/2006/relationships" name="GVMetadata" sheetId="12" state="veryHidden" r:id="rId12"/>
  </sheets>
  <definedNames>
    <definedName name="AgendaStatusList">AgendaStatus[مستوى الإنجاز]</definedName>
    <definedName name="CompletionList">CompletionPercent[نسب الإنجاز]</definedName>
    <definedName name="DashboardDepartments">_xlfn.ANCHORARRAY(Logic!$B$7)</definedName>
    <definedName name="DashboardSectors">_xlfn.ANCHORARRAY(Logic!$A$7)</definedName>
    <definedName name="DepartmentsList">Departments[الوحدة التنظيمية]</definedName>
    <definedName name="EntitiesList">Entities[الجهة المعنية]</definedName>
    <definedName name="FollowUpList">FollowUp[متطلبات المتابعة]</definedName>
    <definedName name="FrequencyList">Frequency[دورية القياس]</definedName>
    <definedName name="IssuersList">Issuers[الجهة المسؤولة / صادر عن]</definedName>
    <definedName name="MonthsList">Months[الشهر]</definedName>
    <definedName name="OperationalObjectivesList">OperationalObjectives[الهدف التشغيلي]</definedName>
    <definedName name="PlanStatusList">PlanStatus[ضمن خطة دبي أو أجنداتها]</definedName>
    <definedName name="QuartersList">Quarters[الربع]</definedName>
    <definedName name="SectorsList">Sectors[القطاع]</definedName>
    <definedName name="StrategicObjectivesList">StrategicObjectives[الهدف الاستراتيجي]</definedName>
    <definedName name="TopicTypesList">TopicTypes[تصنيف الموضوع]</definedName>
    <definedName name="ValidationDate">Logic!$B$1</definedName>
    <definedName name="WorkStatusList">WorkStatus[مستوى الإنجاز]</definedName>
    <definedName name="YearsList">Years[الأعوام]</definedName>
    <definedName name="YesNoList">YesNo[القيمة]</definedName>
    <definedName name="AgendaStatusList" localSheetId="3">AgendaStatus[مستوى الإنجاز]</definedName>
    <definedName name="CompletionList" localSheetId="3">CompletionPercent[نسب الإنجاز]</definedName>
    <definedName name="DepartmentsList" localSheetId="3">Departments[الوحدة التنظيمية]</definedName>
    <definedName name="EntitiesList" localSheetId="3">Entities[الجهة المعنية]</definedName>
    <definedName name="FollowUpList" localSheetId="3">FollowUp[متطلبات المتابعة]</definedName>
    <definedName name="FrequencyList" localSheetId="3">Frequency[دورية القياس]</definedName>
    <definedName name="IssuersList" localSheetId="3">Issuers[الجهة المسؤولة / صادر عن]</definedName>
    <definedName name="MonthsList" localSheetId="3">Months[الشهر]</definedName>
    <definedName name="OperationalObjectivesList" localSheetId="3">OperationalObjectives[الهدف التشغيلي]</definedName>
    <definedName name="PlanStatusList" localSheetId="3">PlanStatus[ضمن خطة دبي أو أجنداتها]</definedName>
    <definedName name="QuartersList" localSheetId="3">Quarters[الربع]</definedName>
    <definedName name="SectorsList" localSheetId="3">Sectors[القطاع]</definedName>
    <definedName name="StrategicObjectivesList" localSheetId="3">StrategicObjectives[الهدف الاستراتيجي]</definedName>
    <definedName name="TopicTypesList" localSheetId="3">TopicTypes[تصنيف الموضوع]</definedName>
    <definedName name="WorkStatusList" localSheetId="3">WorkStatus[مستوى الإنجاز]</definedName>
    <definedName name="YearsList" localSheetId="3">Years[الأعوام]</definedName>
    <definedName name="YesNoList" localSheetId="3">YesNo[القيمة]</definedName>
    <definedName name="_xlnm.Print_Area" localSheetId="3">'Performance'!$A$1:$CI$45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409]d\-mmm\-yy;@"/>
    <numFmt numFmtId="165" formatCode="[$-409]mmm\-yy;@"/>
    <numFmt numFmtId="166" formatCode="0;\-0;&quot;-&quot;"/>
    <numFmt numFmtId="167" formatCode="_(* #,##0_);_(* \(#,##0\);_(* &quot;-&quot;??_);_(@_)"/>
  </numFmts>
  <fonts count="61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name val="Aptos Narrow"/>
      <family val="2"/>
      <color theme="1"/>
      <sz val="11"/>
      <scheme val="minor"/>
    </font>
    <font>
      <name val="Dubai"/>
      <family val="2"/>
      <color theme="1"/>
      <sz val="10"/>
    </font>
    <font>
      <name val="Dubai"/>
      <family val="2"/>
      <color theme="0"/>
      <sz val="8"/>
    </font>
    <font>
      <name val="Dubai"/>
      <family val="2"/>
      <color theme="1"/>
      <sz val="7"/>
    </font>
    <font>
      <name val="Dubai"/>
      <family val="2"/>
      <color theme="1"/>
      <sz val="20"/>
    </font>
    <font>
      <name val="Aptos Narrow"/>
      <family val="2"/>
      <color theme="10"/>
      <sz val="11"/>
      <u val="single"/>
      <scheme val="minor"/>
    </font>
    <font>
      <name val="Dubai"/>
      <family val="2"/>
      <color theme="1"/>
      <sz val="44"/>
    </font>
    <font>
      <name val="Dubai"/>
      <family val="2"/>
      <sz val="7"/>
    </font>
    <font>
      <name val="Dubai"/>
      <family val="2"/>
      <color rgb="FF7030A0"/>
      <sz val="20"/>
    </font>
    <font>
      <name val="Dubai"/>
      <family val="2"/>
      <color rgb="FF7030A0"/>
      <sz val="44"/>
    </font>
    <font>
      <name val="Dubai"/>
      <family val="2"/>
      <b val="1"/>
      <sz val="12"/>
    </font>
    <font>
      <name val="Dubai"/>
      <family val="2"/>
      <sz val="10"/>
    </font>
    <font>
      <name val="Dubai"/>
      <family val="2"/>
      <b val="1"/>
      <sz val="33"/>
    </font>
    <font>
      <name val="Dubai"/>
      <family val="2"/>
      <b val="1"/>
      <sz val="10"/>
    </font>
    <font>
      <name val="Dubai"/>
      <family val="2"/>
      <color theme="0"/>
      <sz val="10"/>
    </font>
    <font>
      <name val="Dubai"/>
      <family val="2"/>
      <b val="1"/>
      <color theme="0"/>
      <sz val="18"/>
    </font>
    <font>
      <name val="Dubai"/>
      <family val="2"/>
      <color theme="1"/>
      <sz val="28"/>
    </font>
    <font>
      <name val="Dubai"/>
      <family val="2"/>
      <color theme="1"/>
      <sz val="14"/>
    </font>
    <font>
      <name val="Dubai"/>
      <family val="2"/>
      <color rgb="FF7030A0"/>
      <sz val="18"/>
    </font>
    <font>
      <name val="Dubai"/>
      <family val="2"/>
      <color rgb="FF7030A0"/>
      <sz val="36"/>
    </font>
    <font>
      <name val="Dubai"/>
      <family val="2"/>
      <b val="1"/>
      <color theme="1"/>
      <sz val="18"/>
    </font>
    <font>
      <name val="Dubai"/>
      <family val="2"/>
      <b val="1"/>
      <color theme="0"/>
      <sz val="22"/>
    </font>
    <font>
      <name val="Dubai"/>
      <family val="2"/>
      <color rgb="FFC00000"/>
      <sz val="28"/>
    </font>
    <font>
      <name val="Dubai"/>
      <family val="2"/>
      <b val="1"/>
      <color theme="1"/>
      <sz val="28"/>
    </font>
    <font>
      <name val="Dubai"/>
      <family val="2"/>
      <sz val="28"/>
    </font>
    <font>
      <name val="Dubai"/>
      <family val="2"/>
      <color rgb="FF01831E"/>
      <sz val="28"/>
    </font>
    <font>
      <name val="Dubai"/>
      <family val="2"/>
      <color rgb="FF8D7C6A"/>
      <sz val="28"/>
    </font>
    <font>
      <name val="Dubai"/>
      <family val="2"/>
      <color theme="1"/>
      <sz val="12"/>
    </font>
    <font>
      <name val="Aptos Narrow"/>
      <family val="2"/>
      <b val="1"/>
      <color rgb="FFFF0000"/>
      <sz val="11"/>
      <scheme val="minor"/>
    </font>
    <font>
      <name val="Aptos Narrow"/>
      <family val="2"/>
      <sz val="11"/>
      <scheme val="minor"/>
    </font>
    <font>
      <name val="Dubai"/>
      <family val="2"/>
      <color rgb="FF8D7C6A"/>
      <sz val="10"/>
    </font>
    <font>
      <name val="Dubai"/>
      <family val="2"/>
      <sz val="12"/>
    </font>
    <font>
      <name val="Aptos Narrow"/>
      <family val="2"/>
      <color theme="1"/>
      <sz val="10"/>
      <scheme val="minor"/>
    </font>
    <font>
      <name val="Aptos Narrow"/>
      <family val="2"/>
      <color rgb="FFFF0000"/>
      <sz val="10"/>
      <scheme val="minor"/>
    </font>
    <font>
      <name val="Aptos Narrow"/>
      <family val="2"/>
      <b val="1"/>
      <color theme="0"/>
      <sz val="11"/>
      <scheme val="minor"/>
    </font>
    <font>
      <name val="Dubai"/>
      <family val="2"/>
      <b val="1"/>
      <color theme="1"/>
      <sz val="10"/>
    </font>
    <font>
      <name val="Dubai"/>
      <family val="2"/>
      <b val="1"/>
      <sz val="28"/>
    </font>
    <font>
      <name val="Dubai"/>
      <family val="2"/>
      <b val="1"/>
      <color rgb="FFC00000"/>
      <sz val="16"/>
    </font>
    <font>
      <name val="Dubai"/>
      <family val="2"/>
      <b val="1"/>
      <color rgb="FF01831E"/>
      <sz val="16"/>
    </font>
    <font>
      <name val="Dubai"/>
      <family val="2"/>
      <b val="1"/>
      <sz val="16"/>
    </font>
    <font>
      <name val="Dubai"/>
      <family val="2"/>
      <b val="1"/>
      <color theme="1"/>
      <sz val="14"/>
    </font>
    <font>
      <name val="Dubai"/>
      <family val="2"/>
      <b val="1"/>
      <color theme="1"/>
      <sz val="12"/>
    </font>
    <font>
      <name val="Dubai"/>
      <family val="2"/>
      <b val="1"/>
      <color theme="0" tint="-0.499984740745262"/>
      <sz val="11"/>
    </font>
    <font>
      <name val="Dubai"/>
      <family val="2"/>
      <color theme="1"/>
      <sz val="11"/>
    </font>
    <font>
      <name val="Dubai"/>
      <family val="2"/>
      <b val="1"/>
      <i val="1"/>
      <color theme="1"/>
      <sz val="11"/>
    </font>
    <font>
      <name val="Dubai"/>
      <family val="2"/>
      <sz val="11"/>
    </font>
    <font>
      <name val="Dubai"/>
      <family val="2"/>
      <b val="1"/>
      <sz val="18"/>
    </font>
    <font>
      <name val="Dubai"/>
      <family val="2"/>
      <color rgb="FF01831E"/>
      <sz val="11"/>
    </font>
    <font>
      <name val="Dubai"/>
      <family val="2"/>
      <color rgb="FFC00000"/>
      <sz val="11"/>
    </font>
    <font>
      <name val="Dubai"/>
      <family val="2"/>
      <b val="1"/>
      <color theme="1"/>
      <sz val="36"/>
    </font>
    <font>
      <name val="Dubai"/>
      <family val="2"/>
      <color rgb="FF8D7C6A"/>
      <sz val="11"/>
    </font>
    <font>
      <name val="Aptos Narrow"/>
      <family val="2"/>
      <color rgb="FFFF0000"/>
      <sz val="11"/>
      <scheme val="minor"/>
    </font>
    <font>
      <name val="Dubai"/>
      <family val="2"/>
      <color rgb="FFEFE8DF"/>
      <sz val="10"/>
    </font>
    <font>
      <name val="Dubai"/>
      <family val="2"/>
      <b val="1"/>
      <color rgb="FF8D7C6A"/>
      <sz val="36"/>
    </font>
    <font>
      <name val="Dubai"/>
      <family val="2"/>
      <b val="1"/>
      <sz val="36"/>
    </font>
    <font>
      <name val="Dubai"/>
      <family val="2"/>
      <b val="1"/>
      <color rgb="FF8D7C6A"/>
      <sz val="10"/>
    </font>
    <font>
      <name val="Dubai"/>
      <family val="2"/>
      <color rgb="FF01831E"/>
      <sz val="8"/>
    </font>
    <font>
      <name val="Dubai"/>
      <family val="2"/>
      <color theme="1"/>
      <sz val="8"/>
    </font>
  </fonts>
  <fills count="12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8D7C6A"/>
        <bgColor indexed="64"/>
      </patternFill>
    </fill>
    <fill>
      <patternFill patternType="solid">
        <fgColor rgb="FF01831E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5"/>
        <bgColor theme="5"/>
      </patternFill>
    </fill>
    <fill>
      <patternFill patternType="solid">
        <fgColor rgb="FFFFC000"/>
        <bgColor indexed="64"/>
      </patternFill>
    </fill>
    <fill>
      <patternFill patternType="solid">
        <fgColor rgb="FFEFE8DF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D7C6A"/>
      </left>
      <right/>
      <top style="thin">
        <color rgb="FF8D7C6A"/>
      </top>
      <bottom/>
      <diagonal/>
    </border>
    <border>
      <left/>
      <right/>
      <top style="thin">
        <color rgb="FF8D7C6A"/>
      </top>
      <bottom/>
      <diagonal/>
    </border>
    <border>
      <left/>
      <right style="thin">
        <color rgb="FF8D7C6A"/>
      </right>
      <top style="thin">
        <color rgb="FF8D7C6A"/>
      </top>
      <bottom/>
      <diagonal/>
    </border>
    <border>
      <left style="thin">
        <color rgb="FF8D7C6A"/>
      </left>
      <right/>
      <top/>
      <bottom/>
      <diagonal/>
    </border>
    <border>
      <left/>
      <right style="thin">
        <color rgb="FF8D7C6A"/>
      </right>
      <top/>
      <bottom/>
      <diagonal/>
    </border>
    <border>
      <left style="thin">
        <color rgb="FF8D7C6A"/>
      </left>
      <right/>
      <top/>
      <bottom style="thin">
        <color rgb="FF8D7C6A"/>
      </bottom>
      <diagonal/>
    </border>
    <border>
      <left/>
      <right/>
      <top/>
      <bottom style="thin">
        <color rgb="FF8D7C6A"/>
      </bottom>
      <diagonal/>
    </border>
    <border>
      <left/>
      <right style="thin">
        <color rgb="FF8D7C6A"/>
      </right>
      <top/>
      <bottom style="thin">
        <color rgb="FF8D7C6A"/>
      </bottom>
      <diagonal/>
    </border>
    <border>
      <left style="thin">
        <color rgb="FF8D7C6A"/>
      </left>
      <right style="thin">
        <color rgb="FF8D7C6A"/>
      </right>
      <top style="thin">
        <color rgb="FF8D7C6A"/>
      </top>
      <bottom/>
      <diagonal/>
    </border>
    <border>
      <left style="thin">
        <color rgb="FF8D7C6A"/>
      </left>
      <right style="thin">
        <color rgb="FF8D7C6A"/>
      </right>
      <top/>
      <bottom/>
      <diagonal/>
    </border>
    <border>
      <left style="thin">
        <color rgb="FF8D7C6A"/>
      </left>
      <right style="thin">
        <color rgb="FF8D7C6A"/>
      </right>
      <top/>
      <bottom style="thin">
        <color rgb="FF8D7C6A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8D7C6A"/>
      </left>
      <right style="thin">
        <color rgb="FF8D7C6A"/>
      </right>
      <top style="thin">
        <color rgb="FF8D7C6A"/>
      </top>
      <bottom style="thin">
        <color rgb="FF8D7C6A"/>
      </bottom>
      <diagonal/>
    </border>
    <border>
      <left style="thin">
        <color rgb="FF8D7C6A"/>
      </left>
      <right/>
      <top style="thin">
        <color rgb="FF8D7C6A"/>
      </top>
      <bottom style="thin">
        <color rgb="FF8D7C6A"/>
      </bottom>
      <diagonal/>
    </border>
  </borders>
  <cellStyleXfs count="4">
    <xf numFmtId="0" fontId="3" fillId="0" borderId="0"/>
    <xf numFmtId="9" fontId="3" fillId="0" borderId="0"/>
    <xf numFmtId="43" fontId="3" fillId="0" borderId="0"/>
    <xf numFmtId="0" fontId="8" fillId="0" borderId="0"/>
  </cellStyleXfs>
  <cellXfs count="269">
    <xf numFmtId="0" fontId="0" fillId="0" borderId="0" pivotButton="0" quotePrefix="0" xfId="0"/>
    <xf numFmtId="0" fontId="0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vertical="center" readingOrder="2"/>
    </xf>
    <xf numFmtId="0" fontId="0" fillId="3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center" vertical="center"/>
    </xf>
    <xf numFmtId="9" fontId="0" fillId="3" borderId="0" applyAlignment="1" pivotButton="0" quotePrefix="0" xfId="1">
      <alignment horizontal="right" vertical="center"/>
    </xf>
    <xf numFmtId="0" fontId="4" fillId="0" borderId="0" applyAlignment="1" pivotButton="0" quotePrefix="0" xfId="0">
      <alignment horizontal="right" vertical="top" wrapText="1" readingOrder="2"/>
    </xf>
    <xf numFmtId="0" fontId="4" fillId="0" borderId="0" applyAlignment="1" pivotButton="0" quotePrefix="0" xfId="0">
      <alignment horizontal="right" vertical="top" wrapText="1"/>
    </xf>
    <xf numFmtId="0" fontId="4" fillId="0" borderId="0" applyAlignment="1" pivotButton="0" quotePrefix="0" xfId="1">
      <alignment horizontal="right" vertical="top" wrapText="1"/>
    </xf>
    <xf numFmtId="0" fontId="4" fillId="0" borderId="0" applyAlignment="1" pivotButton="0" quotePrefix="0" xfId="1">
      <alignment horizontal="right" vertical="top" wrapText="1" readingOrder="2"/>
    </xf>
    <xf numFmtId="9" fontId="4" fillId="0" borderId="0" applyAlignment="1" pivotButton="0" quotePrefix="0" xfId="0">
      <alignment horizontal="right" vertical="top" wrapText="1" readingOrder="2"/>
    </xf>
    <xf numFmtId="0" fontId="4" fillId="4" borderId="0" applyAlignment="1" pivotButton="0" quotePrefix="0" xfId="0">
      <alignment horizontal="right" vertical="top" wrapText="1"/>
    </xf>
    <xf numFmtId="0" fontId="4" fillId="4" borderId="0" applyAlignment="1" pivotButton="0" quotePrefix="0" xfId="0">
      <alignment horizontal="right" vertical="top" wrapText="1" readingOrder="2"/>
    </xf>
    <xf numFmtId="9" fontId="4" fillId="0" borderId="0" applyAlignment="1" pivotButton="0" quotePrefix="0" xfId="1">
      <alignment horizontal="right" vertical="top" wrapText="1" readingOrder="2"/>
    </xf>
    <xf numFmtId="0" fontId="4" fillId="0" borderId="0" applyAlignment="1" pivotButton="0" quotePrefix="0" xfId="0">
      <alignment horizontal="right" vertical="top"/>
    </xf>
    <xf numFmtId="164" fontId="4" fillId="0" borderId="0" applyAlignment="1" pivotButton="0" quotePrefix="0" xfId="0">
      <alignment horizontal="right" vertical="top"/>
    </xf>
    <xf numFmtId="0" fontId="4" fillId="0" borderId="0" applyAlignment="1" pivotButton="0" quotePrefix="0" xfId="0">
      <alignment horizontal="right" vertical="top" readingOrder="2"/>
    </xf>
    <xf numFmtId="165" fontId="4" fillId="0" borderId="0" applyAlignment="1" pivotButton="0" quotePrefix="0" xfId="0">
      <alignment horizontal="right" vertical="top" readingOrder="2"/>
    </xf>
    <xf numFmtId="43" fontId="4" fillId="0" borderId="0" applyAlignment="1" pivotButton="0" quotePrefix="0" xfId="2">
      <alignment horizontal="right" vertical="top" readingOrder="2"/>
    </xf>
    <xf numFmtId="9" fontId="4" fillId="0" borderId="0" applyAlignment="1" pivotButton="0" quotePrefix="0" xfId="1">
      <alignment horizontal="right" vertical="top" readingOrder="2"/>
    </xf>
    <xf numFmtId="0" fontId="14" fillId="0" borderId="6" applyAlignment="1" pivotButton="0" quotePrefix="0" xfId="0">
      <alignment vertical="center" readingOrder="2"/>
    </xf>
    <xf numFmtId="0" fontId="4" fillId="0" borderId="6" applyAlignment="1" pivotButton="0" quotePrefix="0" xfId="0">
      <alignment vertical="center" readingOrder="2"/>
    </xf>
    <xf numFmtId="0" fontId="8" fillId="0" borderId="0" applyAlignment="1" pivotButton="0" quotePrefix="0" xfId="3">
      <alignment vertical="center" readingOrder="2"/>
    </xf>
    <xf numFmtId="0" fontId="13" fillId="0" borderId="6" applyAlignment="1" pivotButton="0" quotePrefix="0" xfId="0">
      <alignment horizontal="center" vertical="center" readingOrder="2"/>
    </xf>
    <xf numFmtId="0" fontId="10" fillId="0" borderId="6" applyAlignment="1" pivotButton="0" quotePrefix="0" xfId="0">
      <alignment horizontal="right" vertical="center" readingOrder="2"/>
    </xf>
    <xf numFmtId="0" fontId="4" fillId="0" borderId="8" applyAlignment="1" pivotButton="0" quotePrefix="0" xfId="0">
      <alignment vertical="center" readingOrder="2"/>
    </xf>
    <xf numFmtId="0" fontId="19" fillId="0" borderId="5" applyAlignment="1" pivotButton="0" quotePrefix="0" xfId="0">
      <alignment vertical="center" readingOrder="2"/>
    </xf>
    <xf numFmtId="0" fontId="4" fillId="0" borderId="5" applyAlignment="1" pivotButton="0" quotePrefix="0" xfId="0">
      <alignment vertical="center" readingOrder="2"/>
    </xf>
    <xf numFmtId="0" fontId="21" fillId="0" borderId="6" applyAlignment="1" pivotButton="0" quotePrefix="0" xfId="0">
      <alignment horizontal="center" vertical="center" wrapText="1" readingOrder="2"/>
    </xf>
    <xf numFmtId="0" fontId="22" fillId="0" borderId="6" applyAlignment="1" pivotButton="0" quotePrefix="0" xfId="2">
      <alignment horizontal="center" vertical="center" readingOrder="2"/>
    </xf>
    <xf numFmtId="0" fontId="4" fillId="0" borderId="6" applyAlignment="1" pivotButton="0" quotePrefix="0" xfId="0">
      <alignment horizontal="right" vertical="center" readingOrder="2"/>
    </xf>
    <xf numFmtId="0" fontId="4" fillId="0" borderId="7" applyAlignment="1" pivotButton="0" quotePrefix="0" xfId="0">
      <alignment vertical="center" readingOrder="2"/>
    </xf>
    <xf numFmtId="0" fontId="20" fillId="0" borderId="3" applyAlignment="1" pivotButton="0" quotePrefix="0" xfId="0">
      <alignment vertical="center" readingOrder="2"/>
    </xf>
    <xf numFmtId="0" fontId="20" fillId="0" borderId="5" applyAlignment="1" pivotButton="0" quotePrefix="0" xfId="0">
      <alignment vertical="center" readingOrder="2"/>
    </xf>
    <xf numFmtId="0" fontId="4" fillId="0" borderId="9" applyAlignment="1" pivotButton="0" quotePrefix="0" xfId="0">
      <alignment vertical="center" readingOrder="2"/>
    </xf>
    <xf numFmtId="0" fontId="18" fillId="0" borderId="5" applyAlignment="1" pivotButton="0" quotePrefix="0" xfId="0">
      <alignment horizontal="center" vertical="center" readingOrder="2"/>
    </xf>
    <xf numFmtId="0" fontId="18" fillId="0" borderId="6" applyAlignment="1" pivotButton="0" quotePrefix="0" xfId="0">
      <alignment horizontal="center" vertical="center" readingOrder="2"/>
    </xf>
    <xf numFmtId="0" fontId="14" fillId="0" borderId="0" applyAlignment="1" pivotButton="0" quotePrefix="0" xfId="0">
      <alignment vertical="center" readingOrder="2"/>
    </xf>
    <xf numFmtId="0" fontId="0" fillId="0" borderId="0" applyAlignment="1" pivotButton="0" quotePrefix="0" xfId="0">
      <alignment horizontal="right" vertical="center" readingOrder="2"/>
    </xf>
    <xf numFmtId="9" fontId="0" fillId="0" borderId="0" applyAlignment="1" pivotButton="0" quotePrefix="0" xfId="0">
      <alignment horizontal="right" vertical="center" readingOrder="2"/>
    </xf>
    <xf numFmtId="0" fontId="0" fillId="0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right" vertical="center"/>
    </xf>
    <xf numFmtId="0" fontId="0" fillId="2" borderId="0" applyAlignment="1" pivotButton="0" quotePrefix="0" xfId="0">
      <alignment horizontal="right" vertical="center"/>
    </xf>
    <xf numFmtId="0" fontId="0" fillId="0" borderId="0" applyAlignment="1" pivotButton="0" quotePrefix="0" xfId="1">
      <alignment horizontal="right" vertical="center"/>
    </xf>
    <xf numFmtId="0" fontId="0" fillId="3" borderId="0" applyAlignment="1" pivotButton="0" quotePrefix="0" xfId="1">
      <alignment horizontal="right" vertical="center"/>
    </xf>
    <xf numFmtId="0" fontId="1" fillId="3" borderId="0" applyAlignment="1" pivotButton="0" quotePrefix="0" xfId="0">
      <alignment horizontal="right" vertical="center"/>
    </xf>
    <xf numFmtId="0" fontId="31" fillId="3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right" vertical="center" wrapText="1"/>
    </xf>
    <xf numFmtId="0" fontId="32" fillId="0" borderId="0" applyAlignment="1" pivotButton="0" quotePrefix="0" xfId="0">
      <alignment horizontal="right" vertical="center"/>
    </xf>
    <xf numFmtId="15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3" fillId="0" borderId="8" applyAlignment="1" pivotButton="0" quotePrefix="0" xfId="0">
      <alignment vertical="center" readingOrder="2"/>
    </xf>
    <xf numFmtId="0" fontId="29" fillId="0" borderId="8" applyAlignment="1" pivotButton="0" quotePrefix="0" xfId="0">
      <alignment vertical="center" readingOrder="2"/>
    </xf>
    <xf numFmtId="0" fontId="35" fillId="0" borderId="0" applyAlignment="1" pivotButton="0" quotePrefix="0" xfId="0">
      <alignment horizontal="right" vertical="center" readingOrder="2"/>
    </xf>
    <xf numFmtId="0" fontId="4" fillId="0" borderId="0" applyAlignment="1" pivotButton="0" quotePrefix="0" xfId="0">
      <alignment vertical="top" readingOrder="2"/>
    </xf>
    <xf numFmtId="0" fontId="15" fillId="0" borderId="0" applyAlignment="1" pivotButton="0" quotePrefix="0" xfId="0">
      <alignment vertical="center" readingOrder="2"/>
    </xf>
    <xf numFmtId="0" fontId="16" fillId="0" borderId="0" applyAlignment="1" pivotButton="0" quotePrefix="0" xfId="0">
      <alignment vertical="center" readingOrder="2"/>
    </xf>
    <xf numFmtId="0" fontId="13" fillId="0" borderId="0" applyAlignment="1" pivotButton="0" quotePrefix="0" xfId="0">
      <alignment horizontal="center" vertical="center" readingOrder="2"/>
    </xf>
    <xf numFmtId="0" fontId="18" fillId="0" borderId="0" applyAlignment="1" pivotButton="0" quotePrefix="0" xfId="0">
      <alignment horizontal="center" vertical="center" readingOrder="2"/>
    </xf>
    <xf numFmtId="0" fontId="11" fillId="0" borderId="0" applyAlignment="1" pivotButton="0" quotePrefix="0" xfId="0">
      <alignment horizontal="center" vertical="center" readingOrder="2"/>
    </xf>
    <xf numFmtId="0" fontId="12" fillId="0" borderId="0" applyAlignment="1" pivotButton="0" quotePrefix="0" xfId="0">
      <alignment horizontal="center" vertical="center" readingOrder="2"/>
    </xf>
    <xf numFmtId="0" fontId="10" fillId="0" borderId="0" applyAlignment="1" pivotButton="0" quotePrefix="0" xfId="0">
      <alignment horizontal="right" vertical="center" readingOrder="2"/>
    </xf>
    <xf numFmtId="0" fontId="7" fillId="0" borderId="0" applyAlignment="1" pivotButton="0" quotePrefix="0" xfId="0">
      <alignment horizontal="center" vertical="center" readingOrder="2"/>
    </xf>
    <xf numFmtId="0" fontId="9" fillId="0" borderId="0" applyAlignment="1" pivotButton="0" quotePrefix="0" xfId="1">
      <alignment horizontal="center" vertical="center" readingOrder="2"/>
    </xf>
    <xf numFmtId="0" fontId="6" fillId="0" borderId="0" applyAlignment="1" pivotButton="0" quotePrefix="0" xfId="0">
      <alignment horizontal="right" vertical="center" readingOrder="2"/>
    </xf>
    <xf numFmtId="0" fontId="14" fillId="0" borderId="0" applyAlignment="1" pivotButton="0" quotePrefix="0" xfId="0">
      <alignment vertical="top" readingOrder="2"/>
    </xf>
    <xf numFmtId="0" fontId="14" fillId="6" borderId="0" applyAlignment="1" pivotButton="0" quotePrefix="0" xfId="0">
      <alignment vertical="center" readingOrder="2"/>
    </xf>
    <xf numFmtId="0" fontId="17" fillId="6" borderId="0" applyAlignment="1" pivotButton="0" quotePrefix="0" xfId="0">
      <alignment vertical="center" readingOrder="2"/>
    </xf>
    <xf numFmtId="0" fontId="5" fillId="6" borderId="0" applyAlignment="1" pivotButton="0" quotePrefix="0" xfId="0">
      <alignment vertical="center" readingOrder="2"/>
    </xf>
    <xf numFmtId="0" fontId="30" fillId="0" borderId="0" applyAlignment="1" pivotButton="0" quotePrefix="0" xfId="0">
      <alignment horizontal="right" vertical="center" wrapText="1" readingOrder="2"/>
    </xf>
    <xf numFmtId="9" fontId="30" fillId="0" borderId="0" applyAlignment="1" pivotButton="0" quotePrefix="0" xfId="1">
      <alignment horizontal="right" vertical="center" wrapText="1" readingOrder="2"/>
    </xf>
    <xf numFmtId="0" fontId="46" fillId="0" borderId="0" applyAlignment="1" pivotButton="0" quotePrefix="0" xfId="0">
      <alignment horizontal="right" vertical="center" wrapText="1" readingOrder="2"/>
    </xf>
    <xf numFmtId="9" fontId="46" fillId="0" borderId="0" applyAlignment="1" pivotButton="0" quotePrefix="0" xfId="1">
      <alignment horizontal="right" vertical="center" wrapText="1" readingOrder="2"/>
    </xf>
    <xf numFmtId="0" fontId="47" fillId="0" borderId="0" applyAlignment="1" pivotButton="0" quotePrefix="0" xfId="0">
      <alignment horizontal="right" vertical="center" wrapText="1" readingOrder="2"/>
    </xf>
    <xf numFmtId="0" fontId="17" fillId="10" borderId="0" applyAlignment="1" pivotButton="0" quotePrefix="0" xfId="0">
      <alignment horizontal="right" vertical="top"/>
    </xf>
    <xf numFmtId="0" fontId="4" fillId="10" borderId="0" applyAlignment="1" pivotButton="0" quotePrefix="0" xfId="0">
      <alignment horizontal="right" vertical="top" readingOrder="2"/>
    </xf>
    <xf numFmtId="0" fontId="4" fillId="10" borderId="0" applyAlignment="1" pivotButton="0" quotePrefix="0" xfId="0">
      <alignment horizontal="right" vertical="top"/>
    </xf>
    <xf numFmtId="0" fontId="23" fillId="0" borderId="0" applyAlignment="1" pivotButton="0" quotePrefix="0" xfId="0">
      <alignment readingOrder="2"/>
    </xf>
    <xf numFmtId="0" fontId="49" fillId="0" borderId="0" applyAlignment="1" pivotButton="0" quotePrefix="0" xfId="0">
      <alignment readingOrder="2"/>
    </xf>
    <xf numFmtId="0" fontId="46" fillId="0" borderId="0" pivotButton="0" quotePrefix="0" xfId="0"/>
    <xf numFmtId="0" fontId="46" fillId="0" borderId="3" applyAlignment="1" pivotButton="0" quotePrefix="0" xfId="0">
      <alignment vertical="center" readingOrder="2"/>
    </xf>
    <xf numFmtId="0" fontId="46" fillId="0" borderId="5" applyAlignment="1" pivotButton="0" quotePrefix="0" xfId="0">
      <alignment vertical="center" readingOrder="2"/>
    </xf>
    <xf numFmtId="0" fontId="36" fillId="0" borderId="1" applyAlignment="1" pivotButton="0" quotePrefix="0" xfId="0">
      <alignment horizontal="right" vertical="center" readingOrder="2"/>
    </xf>
    <xf numFmtId="0" fontId="36" fillId="0" borderId="1" applyAlignment="1" pivotButton="0" quotePrefix="0" xfId="0">
      <alignment horizontal="left" vertical="center" wrapText="1" readingOrder="2"/>
    </xf>
    <xf numFmtId="0" fontId="35" fillId="0" borderId="1" applyAlignment="1" pivotButton="0" quotePrefix="0" xfId="0">
      <alignment horizontal="right" vertical="center" readingOrder="2"/>
    </xf>
    <xf numFmtId="0" fontId="37" fillId="8" borderId="1" applyAlignment="1" pivotButton="0" quotePrefix="0" xfId="0">
      <alignment horizontal="right" vertical="center" readingOrder="2"/>
    </xf>
    <xf numFmtId="0" fontId="0" fillId="0" borderId="1" applyAlignment="1" pivotButton="0" quotePrefix="0" xfId="0">
      <alignment horizontal="right" vertical="center"/>
    </xf>
    <xf numFmtId="0" fontId="32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37" fillId="9" borderId="1" applyAlignment="1" pivotButton="0" quotePrefix="0" xfId="0">
      <alignment horizontal="right" vertical="center" readingOrder="2"/>
    </xf>
    <xf numFmtId="9" fontId="32" fillId="0" borderId="1" applyAlignment="1" pivotButton="0" quotePrefix="0" xfId="0">
      <alignment horizontal="right" vertical="center"/>
    </xf>
    <xf numFmtId="0" fontId="54" fillId="0" borderId="1" applyAlignment="1" pivotButton="0" quotePrefix="0" xfId="0">
      <alignment horizontal="right" vertical="center"/>
    </xf>
    <xf numFmtId="0" fontId="7" fillId="11" borderId="14" applyAlignment="1" pivotButton="0" quotePrefix="0" xfId="0">
      <alignment horizontal="center" vertical="center" wrapText="1" readingOrder="2"/>
    </xf>
    <xf numFmtId="0" fontId="35" fillId="3" borderId="1" applyAlignment="1" pivotButton="0" quotePrefix="0" xfId="0">
      <alignment horizontal="right" vertical="center" readingOrder="2"/>
    </xf>
    <xf numFmtId="0" fontId="20" fillId="0" borderId="0" applyAlignment="1" pivotButton="0" quotePrefix="0" xfId="0">
      <alignment vertical="center" readingOrder="2"/>
    </xf>
    <xf numFmtId="0" fontId="19" fillId="0" borderId="0" applyAlignment="1" pivotButton="0" quotePrefix="0" xfId="0">
      <alignment vertical="center" readingOrder="2"/>
    </xf>
    <xf numFmtId="0" fontId="46" fillId="0" borderId="0" applyAlignment="1" pivotButton="0" quotePrefix="0" xfId="0">
      <alignment vertical="center" readingOrder="2"/>
    </xf>
    <xf numFmtId="0" fontId="29" fillId="0" borderId="0" applyAlignment="1" pivotButton="0" quotePrefix="0" xfId="0">
      <alignment vertical="center" readingOrder="2"/>
    </xf>
    <xf numFmtId="0" fontId="0" fillId="3" borderId="1" applyAlignment="1" pivotButton="0" quotePrefix="0" xfId="0">
      <alignment horizontal="right" vertical="center" readingOrder="2"/>
    </xf>
    <xf numFmtId="9" fontId="4" fillId="0" borderId="0" applyAlignment="1" pivotButton="0" quotePrefix="0" xfId="1">
      <alignment horizontal="right" vertical="top" readingOrder="2"/>
    </xf>
    <xf numFmtId="0" fontId="0" fillId="0" borderId="0" applyAlignment="1" pivotButton="0" quotePrefix="0" xfId="0">
      <alignment horizontal="right" vertical="top"/>
    </xf>
    <xf numFmtId="14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/>
    </xf>
    <xf numFmtId="9" fontId="0" fillId="0" borderId="0" applyAlignment="1" pivotButton="0" quotePrefix="0" xfId="1">
      <alignment horizontal="right" vertical="top" wrapText="1"/>
    </xf>
    <xf numFmtId="0" fontId="14" fillId="0" borderId="0" applyAlignment="1" pivotButton="0" quotePrefix="0" xfId="0">
      <alignment horizontal="right" vertical="top"/>
    </xf>
    <xf numFmtId="166" fontId="25" fillId="0" borderId="0" applyAlignment="1" pivotButton="0" quotePrefix="0" xfId="2">
      <alignment horizontal="center" vertical="center" readingOrder="2"/>
    </xf>
    <xf numFmtId="0" fontId="59" fillId="7" borderId="10" applyAlignment="1" pivotButton="0" quotePrefix="0" xfId="0">
      <alignment horizontal="center" vertical="center" readingOrder="2"/>
    </xf>
    <xf numFmtId="0" fontId="59" fillId="7" borderId="11" applyAlignment="1" pivotButton="0" quotePrefix="0" xfId="0">
      <alignment horizontal="center" vertical="center" readingOrder="2"/>
    </xf>
    <xf numFmtId="0" fontId="59" fillId="7" borderId="12" applyAlignment="1" pivotButton="0" quotePrefix="0" xfId="0">
      <alignment horizontal="center" vertical="center" readingOrder="2"/>
    </xf>
    <xf numFmtId="0" fontId="23" fillId="0" borderId="3" applyAlignment="1" pivotButton="0" quotePrefix="0" xfId="0">
      <alignment horizontal="right" vertical="center" readingOrder="2"/>
    </xf>
    <xf numFmtId="0" fontId="23" fillId="0" borderId="0" applyAlignment="1" pivotButton="0" quotePrefix="0" xfId="0">
      <alignment horizontal="right" vertical="center" readingOrder="2"/>
    </xf>
    <xf numFmtId="0" fontId="48" fillId="0" borderId="3" applyAlignment="1" pivotButton="0" quotePrefix="0" xfId="0">
      <alignment horizontal="center" vertical="center" readingOrder="2"/>
    </xf>
    <xf numFmtId="0" fontId="48" fillId="0" borderId="4" applyAlignment="1" pivotButton="0" quotePrefix="0" xfId="0">
      <alignment horizontal="center" vertical="center" readingOrder="2"/>
    </xf>
    <xf numFmtId="0" fontId="48" fillId="0" borderId="0" applyAlignment="1" pivotButton="0" quotePrefix="0" xfId="0">
      <alignment horizontal="center" vertical="center" readingOrder="2"/>
    </xf>
    <xf numFmtId="0" fontId="48" fillId="0" borderId="6" applyAlignment="1" pivotButton="0" quotePrefix="0" xfId="0">
      <alignment horizontal="center" vertical="center" readingOrder="2"/>
    </xf>
    <xf numFmtId="0" fontId="24" fillId="6" borderId="2" applyAlignment="1" pivotButton="0" quotePrefix="0" xfId="0">
      <alignment horizontal="right" vertical="center" readingOrder="2"/>
    </xf>
    <xf numFmtId="0" fontId="24" fillId="6" borderId="3" applyAlignment="1" pivotButton="0" quotePrefix="0" xfId="0">
      <alignment horizontal="right" vertical="center" readingOrder="2"/>
    </xf>
    <xf numFmtId="0" fontId="24" fillId="6" borderId="4" applyAlignment="1" pivotButton="0" quotePrefix="0" xfId="0">
      <alignment horizontal="right" vertical="center" readingOrder="2"/>
    </xf>
    <xf numFmtId="0" fontId="24" fillId="6" borderId="7" applyAlignment="1" pivotButton="0" quotePrefix="0" xfId="0">
      <alignment horizontal="right" vertical="center" readingOrder="2"/>
    </xf>
    <xf numFmtId="0" fontId="24" fillId="6" borderId="8" applyAlignment="1" pivotButton="0" quotePrefix="0" xfId="0">
      <alignment horizontal="right" vertical="center" readingOrder="2"/>
    </xf>
    <xf numFmtId="0" fontId="24" fillId="6" borderId="9" applyAlignment="1" pivotButton="0" quotePrefix="0" xfId="0">
      <alignment horizontal="right" vertical="center" readingOrder="2"/>
    </xf>
    <xf numFmtId="0" fontId="38" fillId="0" borderId="3" applyAlignment="1" pivotButton="0" quotePrefix="0" xfId="0">
      <alignment horizontal="center" vertical="center" wrapText="1" readingOrder="2"/>
    </xf>
    <xf numFmtId="0" fontId="38" fillId="0" borderId="0" applyAlignment="1" pivotButton="0" quotePrefix="0" xfId="0">
      <alignment horizontal="center" vertical="center" wrapText="1" readingOrder="2"/>
    </xf>
    <xf numFmtId="0" fontId="38" fillId="0" borderId="4" applyAlignment="1" pivotButton="0" quotePrefix="0" xfId="0">
      <alignment horizontal="center" vertical="center" wrapText="1" readingOrder="2"/>
    </xf>
    <xf numFmtId="0" fontId="38" fillId="0" borderId="6" applyAlignment="1" pivotButton="0" quotePrefix="0" xfId="0">
      <alignment horizontal="center" vertical="center" wrapText="1" readingOrder="2"/>
    </xf>
    <xf numFmtId="0" fontId="33" fillId="0" borderId="8" applyAlignment="1" pivotButton="0" quotePrefix="0" xfId="0">
      <alignment horizontal="center" vertical="center" readingOrder="2"/>
    </xf>
    <xf numFmtId="0" fontId="19" fillId="0" borderId="0" applyAlignment="1" pivotButton="0" quotePrefix="0" xfId="0">
      <alignment horizontal="center" vertical="center" readingOrder="2"/>
    </xf>
    <xf numFmtId="9" fontId="19" fillId="0" borderId="0" applyAlignment="1" pivotButton="0" quotePrefix="0" xfId="1">
      <alignment horizontal="center" vertical="center" readingOrder="2"/>
    </xf>
    <xf numFmtId="9" fontId="19" fillId="0" borderId="6" applyAlignment="1" pivotButton="0" quotePrefix="0" xfId="1">
      <alignment horizontal="center" vertical="center" readingOrder="2"/>
    </xf>
    <xf numFmtId="0" fontId="4" fillId="5" borderId="0" applyAlignment="1" pivotButton="0" quotePrefix="0" xfId="0">
      <alignment horizontal="right" vertical="center" readingOrder="2"/>
    </xf>
    <xf numFmtId="0" fontId="34" fillId="0" borderId="0" applyAlignment="1" pivotButton="0" quotePrefix="0" xfId="0">
      <alignment horizontal="center" vertical="top" wrapText="1" readingOrder="2"/>
    </xf>
    <xf numFmtId="166" fontId="28" fillId="0" borderId="0" applyAlignment="1" pivotButton="0" quotePrefix="0" xfId="2">
      <alignment horizontal="center" vertical="center" readingOrder="2"/>
    </xf>
    <xf numFmtId="0" fontId="39" fillId="0" borderId="0" applyAlignment="1" pivotButton="0" quotePrefix="0" xfId="0">
      <alignment horizontal="right" vertical="center" readingOrder="2"/>
    </xf>
    <xf numFmtId="0" fontId="13" fillId="0" borderId="2" applyAlignment="1" pivotButton="0" quotePrefix="0" xfId="0">
      <alignment horizontal="center" vertical="center" wrapText="1" readingOrder="2"/>
    </xf>
    <xf numFmtId="0" fontId="13" fillId="0" borderId="3" applyAlignment="1" pivotButton="0" quotePrefix="0" xfId="0">
      <alignment horizontal="center" vertical="center" wrapText="1" readingOrder="2"/>
    </xf>
    <xf numFmtId="0" fontId="13" fillId="0" borderId="5" applyAlignment="1" pivotButton="0" quotePrefix="0" xfId="0">
      <alignment horizontal="center" vertical="center" wrapText="1" readingOrder="2"/>
    </xf>
    <xf numFmtId="0" fontId="13" fillId="0" borderId="0" applyAlignment="1" pivotButton="0" quotePrefix="0" xfId="0">
      <alignment horizontal="center" vertical="center" wrapText="1" readingOrder="2"/>
    </xf>
    <xf numFmtId="0" fontId="13" fillId="0" borderId="7" applyAlignment="1" pivotButton="0" quotePrefix="0" xfId="0">
      <alignment horizontal="center" vertical="center" wrapText="1" readingOrder="2"/>
    </xf>
    <xf numFmtId="0" fontId="13" fillId="0" borderId="8" applyAlignment="1" pivotButton="0" quotePrefix="0" xfId="0">
      <alignment horizontal="center" vertical="center" wrapText="1" readingOrder="2"/>
    </xf>
    <xf numFmtId="0" fontId="14" fillId="0" borderId="5" applyAlignment="1" pivotButton="0" quotePrefix="0" xfId="0">
      <alignment horizontal="right" vertical="top" readingOrder="2"/>
    </xf>
    <xf numFmtId="0" fontId="14" fillId="0" borderId="0" applyAlignment="1" pivotButton="0" quotePrefix="0" xfId="0">
      <alignment horizontal="right" vertical="top" readingOrder="2"/>
    </xf>
    <xf numFmtId="0" fontId="14" fillId="0" borderId="6" applyAlignment="1" pivotButton="0" quotePrefix="0" xfId="0">
      <alignment horizontal="right" vertical="top" readingOrder="2"/>
    </xf>
    <xf numFmtId="0" fontId="50" fillId="0" borderId="3" applyAlignment="1" pivotButton="0" quotePrefix="0" xfId="0">
      <alignment horizontal="center" vertical="center" readingOrder="2"/>
    </xf>
    <xf numFmtId="0" fontId="50" fillId="0" borderId="0" applyAlignment="1" pivotButton="0" quotePrefix="0" xfId="0">
      <alignment horizontal="center" vertical="center" readingOrder="2"/>
    </xf>
    <xf numFmtId="0" fontId="33" fillId="0" borderId="8" applyAlignment="1" pivotButton="0" quotePrefix="0" xfId="2">
      <alignment horizontal="center" vertical="center" readingOrder="2"/>
    </xf>
    <xf numFmtId="0" fontId="53" fillId="0" borderId="3" applyAlignment="1" pivotButton="0" quotePrefix="0" xfId="0">
      <alignment horizontal="center" vertical="center" readingOrder="2"/>
    </xf>
    <xf numFmtId="0" fontId="53" fillId="0" borderId="0" applyAlignment="1" pivotButton="0" quotePrefix="0" xfId="0">
      <alignment horizontal="center" vertical="center" readingOrder="2"/>
    </xf>
    <xf numFmtId="0" fontId="53" fillId="0" borderId="3" applyAlignment="1" pivotButton="0" quotePrefix="0" xfId="0">
      <alignment horizontal="center" vertical="center" wrapText="1" readingOrder="2"/>
    </xf>
    <xf numFmtId="0" fontId="53" fillId="0" borderId="0" applyAlignment="1" pivotButton="0" quotePrefix="0" xfId="0">
      <alignment horizontal="center" vertical="center" wrapText="1" readingOrder="2"/>
    </xf>
    <xf numFmtId="0" fontId="33" fillId="0" borderId="0" applyAlignment="1" pivotButton="0" quotePrefix="0" xfId="2">
      <alignment horizontal="center" vertical="center" readingOrder="2"/>
    </xf>
    <xf numFmtId="166" fontId="29" fillId="0" borderId="0" applyAlignment="1" pivotButton="0" quotePrefix="0" xfId="2">
      <alignment horizontal="center" vertical="center" readingOrder="2"/>
    </xf>
    <xf numFmtId="0" fontId="33" fillId="0" borderId="8" applyAlignment="1" pivotButton="0" quotePrefix="0" xfId="0">
      <alignment horizontal="right" vertical="center" readingOrder="2"/>
    </xf>
    <xf numFmtId="0" fontId="33" fillId="0" borderId="7" applyAlignment="1" pivotButton="0" quotePrefix="0" xfId="0">
      <alignment horizontal="right" vertical="center" wrapText="1" readingOrder="2"/>
    </xf>
    <xf numFmtId="0" fontId="33" fillId="0" borderId="8" applyAlignment="1" pivotButton="0" quotePrefix="0" xfId="0">
      <alignment horizontal="right" vertical="center" wrapText="1" readingOrder="2"/>
    </xf>
    <xf numFmtId="0" fontId="24" fillId="6" borderId="2" applyAlignment="1" pivotButton="0" quotePrefix="0" xfId="0">
      <alignment horizontal="right" vertical="center" indent="1" readingOrder="2"/>
    </xf>
    <xf numFmtId="0" fontId="24" fillId="6" borderId="3" applyAlignment="1" pivotButton="0" quotePrefix="0" xfId="0">
      <alignment horizontal="right" vertical="center" indent="1" readingOrder="2"/>
    </xf>
    <xf numFmtId="0" fontId="24" fillId="6" borderId="4" applyAlignment="1" pivotButton="0" quotePrefix="0" xfId="0">
      <alignment horizontal="right" vertical="center" indent="1" readingOrder="2"/>
    </xf>
    <xf numFmtId="0" fontId="24" fillId="6" borderId="7" applyAlignment="1" pivotButton="0" quotePrefix="0" xfId="0">
      <alignment horizontal="right" vertical="center" indent="1" readingOrder="2"/>
    </xf>
    <xf numFmtId="0" fontId="24" fillId="6" borderId="8" applyAlignment="1" pivotButton="0" quotePrefix="0" xfId="0">
      <alignment horizontal="right" vertical="center" indent="1" readingOrder="2"/>
    </xf>
    <xf numFmtId="0" fontId="24" fillId="6" borderId="9" applyAlignment="1" pivotButton="0" quotePrefix="0" xfId="0">
      <alignment horizontal="right" vertical="center" indent="1" readingOrder="2"/>
    </xf>
    <xf numFmtId="0" fontId="23" fillId="0" borderId="2" applyAlignment="1" pivotButton="0" quotePrefix="0" xfId="0">
      <alignment horizontal="right" vertical="center" wrapText="1" readingOrder="2"/>
    </xf>
    <xf numFmtId="0" fontId="23" fillId="0" borderId="3" applyAlignment="1" pivotButton="0" quotePrefix="0" xfId="0">
      <alignment horizontal="right" vertical="center" wrapText="1" readingOrder="2"/>
    </xf>
    <xf numFmtId="0" fontId="23" fillId="0" borderId="5" applyAlignment="1" pivotButton="0" quotePrefix="0" xfId="0">
      <alignment horizontal="right" vertical="center" wrapText="1" readingOrder="2"/>
    </xf>
    <xf numFmtId="0" fontId="23" fillId="0" borderId="0" applyAlignment="1" pivotButton="0" quotePrefix="0" xfId="0">
      <alignment horizontal="right" vertical="center" wrapText="1" readingOrder="2"/>
    </xf>
    <xf numFmtId="0" fontId="33" fillId="0" borderId="9" applyAlignment="1" pivotButton="0" quotePrefix="0" xfId="2">
      <alignment horizontal="center" vertical="center" readingOrder="2"/>
    </xf>
    <xf numFmtId="0" fontId="33" fillId="0" borderId="9" applyAlignment="1" pivotButton="0" quotePrefix="0" xfId="0">
      <alignment horizontal="center" vertical="center" readingOrder="2"/>
    </xf>
    <xf numFmtId="167" fontId="58" fillId="5" borderId="0" applyAlignment="1" pivotButton="0" quotePrefix="0" xfId="2">
      <alignment horizontal="center" vertical="center" readingOrder="2"/>
    </xf>
    <xf numFmtId="167" fontId="58" fillId="5" borderId="6" applyAlignment="1" pivotButton="0" quotePrefix="0" xfId="2">
      <alignment horizontal="center" vertical="center" readingOrder="2"/>
    </xf>
    <xf numFmtId="166" fontId="26" fillId="0" borderId="0" applyAlignment="1" pivotButton="0" quotePrefix="0" xfId="2">
      <alignment horizontal="right" vertical="center" readingOrder="2"/>
    </xf>
    <xf numFmtId="0" fontId="14" fillId="0" borderId="7" applyAlignment="1" pivotButton="0" quotePrefix="0" xfId="0">
      <alignment horizontal="right" vertical="top" readingOrder="2"/>
    </xf>
    <xf numFmtId="0" fontId="14" fillId="0" borderId="8" applyAlignment="1" pivotButton="0" quotePrefix="0" xfId="0">
      <alignment horizontal="right" vertical="top" readingOrder="2"/>
    </xf>
    <xf numFmtId="0" fontId="14" fillId="0" borderId="9" applyAlignment="1" pivotButton="0" quotePrefix="0" xfId="0">
      <alignment horizontal="right" vertical="top" readingOrder="2"/>
    </xf>
    <xf numFmtId="0" fontId="4" fillId="0" borderId="3" applyAlignment="1" pivotButton="0" quotePrefix="0" xfId="0">
      <alignment horizontal="center" vertical="center" readingOrder="2"/>
    </xf>
    <xf numFmtId="0" fontId="4" fillId="0" borderId="0" applyAlignment="1" pivotButton="0" quotePrefix="0" xfId="0">
      <alignment horizontal="center" vertical="center" readingOrder="2"/>
    </xf>
    <xf numFmtId="0" fontId="51" fillId="0" borderId="3" applyAlignment="1" pivotButton="0" quotePrefix="0" xfId="0">
      <alignment horizontal="center" vertical="center" wrapText="1" readingOrder="2"/>
    </xf>
    <xf numFmtId="0" fontId="51" fillId="0" borderId="0" applyAlignment="1" pivotButton="0" quotePrefix="0" xfId="0">
      <alignment horizontal="center" vertical="center" wrapText="1" readingOrder="2"/>
    </xf>
    <xf numFmtId="0" fontId="43" fillId="5" borderId="5" applyAlignment="1" pivotButton="0" quotePrefix="0" xfId="0">
      <alignment horizontal="right" vertical="center" readingOrder="2"/>
    </xf>
    <xf numFmtId="0" fontId="43" fillId="5" borderId="0" applyAlignment="1" pivotButton="0" quotePrefix="0" xfId="0">
      <alignment horizontal="right" vertical="center" readingOrder="2"/>
    </xf>
    <xf numFmtId="166" fontId="19" fillId="0" borderId="0" applyAlignment="1" pivotButton="0" quotePrefix="0" xfId="2">
      <alignment horizontal="center" vertical="center" readingOrder="2"/>
    </xf>
    <xf numFmtId="0" fontId="60" fillId="7" borderId="10" applyAlignment="1" pivotButton="0" quotePrefix="0" xfId="0">
      <alignment horizontal="center" vertical="center" readingOrder="2"/>
    </xf>
    <xf numFmtId="0" fontId="60" fillId="7" borderId="11" applyAlignment="1" pivotButton="0" quotePrefix="0" xfId="0">
      <alignment horizontal="center" vertical="center" readingOrder="2"/>
    </xf>
    <xf numFmtId="0" fontId="60" fillId="7" borderId="12" applyAlignment="1" pivotButton="0" quotePrefix="0" xfId="0">
      <alignment horizontal="center" vertical="center" readingOrder="2"/>
    </xf>
    <xf numFmtId="0" fontId="23" fillId="0" borderId="2" applyAlignment="1" pivotButton="0" quotePrefix="0" xfId="0">
      <alignment horizontal="right" vertical="center" readingOrder="2"/>
    </xf>
    <xf numFmtId="0" fontId="23" fillId="0" borderId="5" applyAlignment="1" pivotButton="0" quotePrefix="0" xfId="0">
      <alignment horizontal="right" vertical="center" readingOrder="2"/>
    </xf>
    <xf numFmtId="0" fontId="53" fillId="0" borderId="4" applyAlignment="1" pivotButton="0" quotePrefix="0" xfId="0">
      <alignment horizontal="center" vertical="center" readingOrder="2"/>
    </xf>
    <xf numFmtId="0" fontId="53" fillId="0" borderId="6" applyAlignment="1" pivotButton="0" quotePrefix="0" xfId="0">
      <alignment horizontal="center" vertical="center" readingOrder="2"/>
    </xf>
    <xf numFmtId="166" fontId="52" fillId="0" borderId="5" applyAlignment="1" pivotButton="0" quotePrefix="0" xfId="2">
      <alignment horizontal="right" vertical="center" readingOrder="2"/>
    </xf>
    <xf numFmtId="166" fontId="52" fillId="0" borderId="0" applyAlignment="1" pivotButton="0" quotePrefix="0" xfId="2">
      <alignment horizontal="right" vertical="center" readingOrder="2"/>
    </xf>
    <xf numFmtId="167" fontId="41" fillId="5" borderId="0" applyAlignment="1" pivotButton="0" quotePrefix="0" xfId="2">
      <alignment horizontal="center" vertical="center" readingOrder="2"/>
    </xf>
    <xf numFmtId="167" fontId="41" fillId="5" borderId="8" applyAlignment="1" pivotButton="0" quotePrefix="0" xfId="2">
      <alignment horizontal="center" vertical="center" readingOrder="2"/>
    </xf>
    <xf numFmtId="167" fontId="58" fillId="5" borderId="8" applyAlignment="1" pivotButton="0" quotePrefix="0" xfId="2">
      <alignment horizontal="center" vertical="center" readingOrder="2"/>
    </xf>
    <xf numFmtId="0" fontId="33" fillId="0" borderId="5" applyAlignment="1" pivotButton="0" quotePrefix="0" xfId="0">
      <alignment horizontal="right" vertical="center" readingOrder="2"/>
    </xf>
    <xf numFmtId="0" fontId="33" fillId="0" borderId="0" applyAlignment="1" pivotButton="0" quotePrefix="0" xfId="0">
      <alignment horizontal="right" vertical="center" readingOrder="2"/>
    </xf>
    <xf numFmtId="166" fontId="27" fillId="0" borderId="0" applyAlignment="1" pivotButton="0" quotePrefix="0" xfId="2">
      <alignment horizontal="center" vertical="center" readingOrder="2"/>
    </xf>
    <xf numFmtId="166" fontId="27" fillId="0" borderId="6" applyAlignment="1" pivotButton="0" quotePrefix="0" xfId="2">
      <alignment horizontal="center" vertical="center" readingOrder="2"/>
    </xf>
    <xf numFmtId="166" fontId="29" fillId="0" borderId="6" applyAlignment="1" pivotButton="0" quotePrefix="0" xfId="2">
      <alignment horizontal="center" vertical="center" readingOrder="2"/>
    </xf>
    <xf numFmtId="0" fontId="33" fillId="0" borderId="6" applyAlignment="1" pivotButton="0" quotePrefix="0" xfId="2">
      <alignment horizontal="center" vertical="center" readingOrder="2"/>
    </xf>
    <xf numFmtId="0" fontId="43" fillId="5" borderId="7" applyAlignment="1" pivotButton="0" quotePrefix="0" xfId="0">
      <alignment horizontal="right" vertical="center" readingOrder="2"/>
    </xf>
    <xf numFmtId="0" fontId="43" fillId="5" borderId="8" applyAlignment="1" pivotButton="0" quotePrefix="0" xfId="0">
      <alignment horizontal="right" vertical="center" readingOrder="2"/>
    </xf>
    <xf numFmtId="167" fontId="42" fillId="5" borderId="0" applyAlignment="1" pivotButton="0" quotePrefix="0" xfId="2">
      <alignment horizontal="center" vertical="center" readingOrder="2"/>
    </xf>
    <xf numFmtId="167" fontId="40" fillId="5" borderId="0" applyAlignment="1" pivotButton="0" quotePrefix="0" xfId="2">
      <alignment horizontal="center" vertical="center" readingOrder="2"/>
    </xf>
    <xf numFmtId="167" fontId="40" fillId="5" borderId="8" applyAlignment="1" pivotButton="0" quotePrefix="0" xfId="2">
      <alignment horizontal="center" vertical="center" readingOrder="2"/>
    </xf>
    <xf numFmtId="167" fontId="58" fillId="5" borderId="9" applyAlignment="1" pivotButton="0" quotePrefix="0" xfId="2">
      <alignment horizontal="center" vertical="center" readingOrder="2"/>
    </xf>
    <xf numFmtId="0" fontId="46" fillId="0" borderId="3" applyAlignment="1" pivotButton="0" quotePrefix="0" xfId="0">
      <alignment horizontal="center" vertical="center" readingOrder="2"/>
    </xf>
    <xf numFmtId="0" fontId="46" fillId="0" borderId="0" applyAlignment="1" pivotButton="0" quotePrefix="0" xfId="0">
      <alignment horizontal="center" vertical="center" readingOrder="2"/>
    </xf>
    <xf numFmtId="0" fontId="50" fillId="0" borderId="3" applyAlignment="1" pivotButton="0" quotePrefix="0" xfId="0">
      <alignment horizontal="center" vertical="center" wrapText="1" readingOrder="2"/>
    </xf>
    <xf numFmtId="0" fontId="50" fillId="0" borderId="0" applyAlignment="1" pivotButton="0" quotePrefix="0" xfId="0">
      <alignment horizontal="center" vertical="center" wrapText="1" readingOrder="2"/>
    </xf>
    <xf numFmtId="0" fontId="48" fillId="0" borderId="3" applyAlignment="1" pivotButton="0" quotePrefix="0" xfId="0">
      <alignment horizontal="center" vertical="center" wrapText="1" readingOrder="2"/>
    </xf>
    <xf numFmtId="0" fontId="48" fillId="0" borderId="4" applyAlignment="1" pivotButton="0" quotePrefix="0" xfId="0">
      <alignment horizontal="center" vertical="center" wrapText="1" readingOrder="2"/>
    </xf>
    <xf numFmtId="0" fontId="48" fillId="0" borderId="0" applyAlignment="1" pivotButton="0" quotePrefix="0" xfId="0">
      <alignment horizontal="center" vertical="center" wrapText="1" readingOrder="2"/>
    </xf>
    <xf numFmtId="0" fontId="48" fillId="0" borderId="6" applyAlignment="1" pivotButton="0" quotePrefix="0" xfId="0">
      <alignment horizontal="center" vertical="center" wrapText="1" readingOrder="2"/>
    </xf>
    <xf numFmtId="166" fontId="16" fillId="0" borderId="0" applyAlignment="1" pivotButton="0" quotePrefix="0" xfId="0">
      <alignment horizontal="center" vertical="center" wrapText="1" readingOrder="2"/>
    </xf>
    <xf numFmtId="166" fontId="33" fillId="0" borderId="8" applyAlignment="1" pivotButton="0" quotePrefix="0" xfId="0">
      <alignment horizontal="center" vertical="center" wrapText="1" readingOrder="2"/>
    </xf>
    <xf numFmtId="166" fontId="33" fillId="0" borderId="3" applyAlignment="1" pivotButton="0" quotePrefix="0" xfId="0">
      <alignment horizontal="center" vertical="center" wrapText="1" readingOrder="2"/>
    </xf>
    <xf numFmtId="0" fontId="23" fillId="0" borderId="0" applyAlignment="1" pivotButton="0" quotePrefix="0" xfId="0">
      <alignment horizontal="right" readingOrder="2"/>
    </xf>
    <xf numFmtId="0" fontId="24" fillId="6" borderId="5" applyAlignment="1" pivotButton="0" quotePrefix="0" xfId="0">
      <alignment horizontal="right" vertical="center" readingOrder="2"/>
    </xf>
    <xf numFmtId="0" fontId="24" fillId="6" borderId="0" applyAlignment="1" pivotButton="0" quotePrefix="0" xfId="0">
      <alignment horizontal="right" vertical="center" readingOrder="2"/>
    </xf>
    <xf numFmtId="0" fontId="24" fillId="6" borderId="6" applyAlignment="1" pivotButton="0" quotePrefix="0" xfId="0">
      <alignment horizontal="right" vertical="center" readingOrder="2"/>
    </xf>
    <xf numFmtId="0" fontId="14" fillId="0" borderId="8" applyAlignment="1" pivotButton="0" quotePrefix="0" xfId="0">
      <alignment horizontal="center" vertical="center" readingOrder="2"/>
    </xf>
    <xf numFmtId="0" fontId="55" fillId="0" borderId="0" applyAlignment="1" pivotButton="0" quotePrefix="0" xfId="0">
      <alignment horizontal="right" vertical="center" wrapText="1" readingOrder="2"/>
    </xf>
    <xf numFmtId="0" fontId="49" fillId="0" borderId="0" applyAlignment="1" pivotButton="0" quotePrefix="0" xfId="0">
      <alignment horizontal="right" readingOrder="2"/>
    </xf>
    <xf numFmtId="0" fontId="49" fillId="0" borderId="8" applyAlignment="1" pivotButton="0" quotePrefix="0" xfId="0">
      <alignment horizontal="right" readingOrder="2"/>
    </xf>
    <xf numFmtId="0" fontId="33" fillId="0" borderId="0" applyAlignment="1" pivotButton="0" quotePrefix="0" xfId="0">
      <alignment horizontal="right" vertical="center" wrapText="1" readingOrder="2"/>
    </xf>
    <xf numFmtId="0" fontId="33" fillId="0" borderId="7" applyAlignment="1" pivotButton="0" quotePrefix="0" xfId="0">
      <alignment horizontal="right" vertical="center" readingOrder="2"/>
    </xf>
    <xf numFmtId="0" fontId="33" fillId="0" borderId="3" applyAlignment="1" pivotButton="0" quotePrefix="0" xfId="0">
      <alignment horizontal="center" vertical="center" wrapText="1" readingOrder="2"/>
    </xf>
    <xf numFmtId="0" fontId="33" fillId="0" borderId="0" applyAlignment="1" pivotButton="0" quotePrefix="0" xfId="0">
      <alignment horizontal="center" vertical="center" wrapText="1" readingOrder="2"/>
    </xf>
    <xf numFmtId="0" fontId="23" fillId="0" borderId="0" applyAlignment="1" pivotButton="0" quotePrefix="0" xfId="0">
      <alignment horizontal="right" vertical="center" wrapText="1"/>
    </xf>
    <xf numFmtId="0" fontId="44" fillId="0" borderId="0" applyAlignment="1" pivotButton="0" quotePrefix="0" xfId="0">
      <alignment horizontal="center" vertical="center" wrapText="1" readingOrder="1"/>
    </xf>
    <xf numFmtId="0" fontId="0" fillId="3" borderId="0" applyAlignment="1" pivotButton="0" quotePrefix="0" xfId="0">
      <alignment horizontal="center" vertical="center"/>
    </xf>
    <xf numFmtId="0" fontId="0" fillId="3" borderId="13" applyAlignment="1" pivotButton="0" quotePrefix="0" xfId="0">
      <alignment horizontal="center" vertical="center"/>
    </xf>
    <xf numFmtId="0" fontId="59" fillId="7" borderId="15" applyAlignment="1" pivotButton="0" quotePrefix="0" xfId="0">
      <alignment horizontal="center" vertical="center" readingOrder="2"/>
    </xf>
    <xf numFmtId="0" fontId="13" fillId="0" borderId="16" applyAlignment="1" pivotButton="0" quotePrefix="0" xfId="0">
      <alignment horizontal="center" vertical="center" wrapText="1" readingOrder="2"/>
    </xf>
    <xf numFmtId="0" fontId="0" fillId="0" borderId="3" pivotButton="0" quotePrefix="0" xfId="0"/>
    <xf numFmtId="0" fontId="0" fillId="0" borderId="4" pivotButton="0" quotePrefix="0" xfId="0"/>
    <xf numFmtId="0" fontId="0" fillId="0" borderId="11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12" pivotButton="0" quotePrefix="0" xfId="0"/>
    <xf numFmtId="0" fontId="0" fillId="0" borderId="7" pivotButton="0" quotePrefix="0" xfId="0"/>
    <xf numFmtId="0" fontId="0" fillId="0" borderId="8" pivotButton="0" quotePrefix="0" xfId="0"/>
    <xf numFmtId="0" fontId="24" fillId="6" borderId="15" applyAlignment="1" pivotButton="0" quotePrefix="0" xfId="0">
      <alignment horizontal="right" vertical="center" readingOrder="2"/>
    </xf>
    <xf numFmtId="0" fontId="24" fillId="6" borderId="10" applyAlignment="1" pivotButton="0" quotePrefix="0" xfId="0">
      <alignment horizontal="right" vertical="center" readingOrder="2"/>
    </xf>
    <xf numFmtId="0" fontId="0" fillId="0" borderId="9" pivotButton="0" quotePrefix="0" xfId="0"/>
    <xf numFmtId="166" fontId="33" fillId="0" borderId="3" applyAlignment="1" pivotButton="0" quotePrefix="0" xfId="0">
      <alignment horizontal="center" vertical="center" wrapText="1" readingOrder="2"/>
    </xf>
    <xf numFmtId="166" fontId="16" fillId="0" borderId="0" applyAlignment="1" pivotButton="0" quotePrefix="0" xfId="0">
      <alignment horizontal="center" vertical="center" wrapText="1" readingOrder="2"/>
    </xf>
    <xf numFmtId="166" fontId="26" fillId="0" borderId="0" applyAlignment="1" pivotButton="0" quotePrefix="0" xfId="2">
      <alignment horizontal="right" vertical="center" readingOrder="2"/>
    </xf>
    <xf numFmtId="166" fontId="25" fillId="0" borderId="0" applyAlignment="1" pivotButton="0" quotePrefix="0" xfId="2">
      <alignment horizontal="center" vertical="center" readingOrder="2"/>
    </xf>
    <xf numFmtId="166" fontId="28" fillId="0" borderId="0" applyAlignment="1" pivotButton="0" quotePrefix="0" xfId="2">
      <alignment horizontal="center" vertical="center" readingOrder="2"/>
    </xf>
    <xf numFmtId="166" fontId="19" fillId="0" borderId="0" applyAlignment="1" pivotButton="0" quotePrefix="0" xfId="2">
      <alignment horizontal="center" vertical="center" readingOrder="2"/>
    </xf>
    <xf numFmtId="166" fontId="27" fillId="0" borderId="6" applyAlignment="1" pivotButton="0" quotePrefix="0" xfId="2">
      <alignment horizontal="center" vertical="center" readingOrder="2"/>
    </xf>
    <xf numFmtId="166" fontId="52" fillId="0" borderId="5" applyAlignment="1" pivotButton="0" quotePrefix="0" xfId="2">
      <alignment horizontal="right" vertical="center" readingOrder="2"/>
    </xf>
    <xf numFmtId="166" fontId="29" fillId="0" borderId="0" applyAlignment="1" pivotButton="0" quotePrefix="0" xfId="2">
      <alignment horizontal="center" vertical="center" readingOrder="2"/>
    </xf>
    <xf numFmtId="166" fontId="27" fillId="0" borderId="0" applyAlignment="1" pivotButton="0" quotePrefix="0" xfId="2">
      <alignment horizontal="center" vertical="center" readingOrder="2"/>
    </xf>
    <xf numFmtId="166" fontId="33" fillId="0" borderId="8" applyAlignment="1" pivotButton="0" quotePrefix="0" xfId="0">
      <alignment horizontal="center" vertical="center" wrapText="1" readingOrder="2"/>
    </xf>
    <xf numFmtId="0" fontId="60" fillId="7" borderId="15" applyAlignment="1" pivotButton="0" quotePrefix="0" xfId="0">
      <alignment horizontal="center" vertical="center" readingOrder="2"/>
    </xf>
    <xf numFmtId="166" fontId="29" fillId="0" borderId="6" applyAlignment="1" pivotButton="0" quotePrefix="0" xfId="2">
      <alignment horizontal="center" vertical="center" readingOrder="2"/>
    </xf>
    <xf numFmtId="167" fontId="42" fillId="5" borderId="0" applyAlignment="1" pivotButton="0" quotePrefix="0" xfId="2">
      <alignment horizontal="center" vertical="center" readingOrder="2"/>
    </xf>
    <xf numFmtId="167" fontId="58" fillId="5" borderId="0" applyAlignment="1" pivotButton="0" quotePrefix="0" xfId="2">
      <alignment horizontal="center" vertical="center" readingOrder="2"/>
    </xf>
    <xf numFmtId="167" fontId="58" fillId="5" borderId="6" applyAlignment="1" pivotButton="0" quotePrefix="0" xfId="2">
      <alignment horizontal="center" vertical="center" readingOrder="2"/>
    </xf>
    <xf numFmtId="167" fontId="41" fillId="5" borderId="8" applyAlignment="1" pivotButton="0" quotePrefix="0" xfId="2">
      <alignment horizontal="center" vertical="center" readingOrder="2"/>
    </xf>
    <xf numFmtId="167" fontId="58" fillId="5" borderId="8" applyAlignment="1" pivotButton="0" quotePrefix="0" xfId="2">
      <alignment horizontal="center" vertical="center" readingOrder="2"/>
    </xf>
    <xf numFmtId="167" fontId="40" fillId="5" borderId="8" applyAlignment="1" pivotButton="0" quotePrefix="0" xfId="2">
      <alignment horizontal="center" vertical="center" readingOrder="2"/>
    </xf>
    <xf numFmtId="167" fontId="58" fillId="5" borderId="9" applyAlignment="1" pivotButton="0" quotePrefix="0" xfId="2">
      <alignment horizontal="center" vertical="center" readingOrder="2"/>
    </xf>
    <xf numFmtId="0" fontId="24" fillId="6" borderId="15" applyAlignment="1" pivotButton="0" quotePrefix="0" xfId="0">
      <alignment horizontal="right" vertical="center" indent="1" readingOrder="2"/>
    </xf>
    <xf numFmtId="0" fontId="14" fillId="0" borderId="11" applyAlignment="1" pivotButton="0" quotePrefix="0" xfId="0">
      <alignment horizontal="right" vertical="top" readingOrder="2"/>
    </xf>
    <xf numFmtId="0" fontId="14" fillId="0" borderId="12" applyAlignment="1" pivotButton="0" quotePrefix="0" xfId="0">
      <alignment horizontal="right" vertical="top" readingOrder="2"/>
    </xf>
    <xf numFmtId="0" fontId="0" fillId="0" borderId="13" pivotButton="0" quotePrefix="0" xfId="0"/>
    <xf numFmtId="164" fontId="4" fillId="0" borderId="0" applyAlignment="1" pivotButton="0" quotePrefix="0" xfId="0">
      <alignment horizontal="right" vertical="top"/>
    </xf>
  </cellXfs>
  <cellStyles count="4">
    <cellStyle name="Normal" xfId="0" builtinId="0"/>
    <cellStyle name="Percent" xfId="1" builtinId="5"/>
    <cellStyle name="Comma" xfId="2" builtinId="3"/>
    <cellStyle name="Hyperlink" xfId="3" builtinId="8"/>
  </cellStyles>
  <dxfs count="241">
    <dxf>
      <fill>
        <patternFill>
          <bgColor theme="8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7999816888943144"/>
        </patternFill>
      </fill>
    </dxf>
    <dxf>
      <font>
        <color rgb="FFC00000"/>
      </font>
    </dxf>
    <dxf>
      <font>
        <color rgb="FF01831E"/>
      </font>
    </dxf>
    <dxf>
      <font>
        <color rgb="FF01831E"/>
      </font>
    </dxf>
    <dxf>
      <font>
        <color rgb="FFC00000"/>
      </font>
    </dxf>
    <dxf>
      <font>
        <color rgb="FFC00000"/>
      </font>
      <fill>
        <patternFill>
          <bgColor rgb="FFC00000"/>
        </patternFill>
      </fill>
    </dxf>
    <dxf>
      <font>
        <color rgb="FFC00000"/>
      </font>
      <fill>
        <patternFill>
          <bgColor rgb="FFC00000"/>
        </patternFill>
      </fill>
    </dxf>
    <dxf>
      <font>
        <color rgb="FFC00000"/>
      </font>
      <fill>
        <patternFill>
          <bgColor rgb="FFC00000"/>
        </patternFill>
      </fill>
    </dxf>
    <dxf>
      <font>
        <color rgb="FFC00000"/>
      </font>
    </dxf>
    <dxf>
      <font>
        <color rgb="FF01831E"/>
      </font>
    </dxf>
    <dxf>
      <font>
        <color rgb="FFC00000"/>
      </font>
    </dxf>
    <dxf>
      <font>
        <color rgb="FFC00000"/>
      </font>
      <fill>
        <patternFill>
          <bgColor rgb="FFC00000"/>
        </patternFill>
      </fill>
    </dxf>
    <dxf>
      <font>
        <color rgb="FFC00000"/>
      </font>
      <fill>
        <patternFill>
          <bgColor rgb="FFC00000"/>
        </patternFill>
      </fill>
    </dxf>
    <dxf>
      <font>
        <color rgb="FFC00000"/>
      </font>
      <fill>
        <patternFill>
          <bgColor rgb="FFC0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1"/>
      </font>
      <fill>
        <patternFill>
          <bgColor rgb="FFEFE8D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Dubai"/>
        <family val="2"/>
        <strike val="0"/>
        <outline val="0"/>
        <shadow val="0"/>
        <color theme="1"/>
        <sz val="10"/>
        <vertAlign val="baseline"/>
      </font>
      <numFmt numFmtId="0" formatCode="General"/>
      <alignment horizontal="right" vertical="top" wrapText="1" readingOrder="2"/>
    </dxf>
    <dxf>
      <font>
        <name val="Dubai"/>
        <family val="2"/>
        <strike val="0"/>
        <outline val="0"/>
        <shadow val="0"/>
        <color theme="1"/>
        <sz val="10"/>
        <vertAlign val="baseline"/>
      </font>
      <numFmt numFmtId="0" formatCode="General"/>
      <alignment horizontal="right" vertical="top" wrapText="1" readingOrder="2"/>
    </dxf>
    <dxf>
      <font>
        <name val="Dubai"/>
        <family val="2"/>
        <strike val="0"/>
        <outline val="0"/>
        <shadow val="0"/>
        <color theme="1"/>
        <sz val="10"/>
        <vertAlign val="baseline"/>
      </font>
      <numFmt numFmtId="0" formatCode="General"/>
      <alignment horizontal="right" vertical="top" wrapText="1" readingOrder="2"/>
    </dxf>
    <dxf>
      <font>
        <name val="Dubai"/>
        <family val="2"/>
        <strike val="0"/>
        <outline val="0"/>
        <shadow val="0"/>
        <color theme="1"/>
        <sz val="10"/>
        <vertAlign val="baseline"/>
      </font>
      <numFmt numFmtId="0" formatCode="General"/>
      <alignment horizontal="right" vertical="top" wrapText="1" readingOrder="2"/>
    </dxf>
    <dxf>
      <font>
        <name val="Dubai"/>
        <family val="2"/>
        <strike val="0"/>
        <outline val="0"/>
        <shadow val="0"/>
        <color theme="1"/>
        <sz val="10"/>
        <vertAlign val="baseline"/>
      </font>
      <numFmt numFmtId="0" formatCode="General"/>
      <alignment horizontal="right" vertical="top" wrapText="1" readingOrder="2"/>
    </dxf>
    <dxf>
      <font>
        <name val="Dubai"/>
        <family val="2"/>
        <strike val="0"/>
        <outline val="0"/>
        <shadow val="0"/>
        <color theme="1"/>
        <sz val="10"/>
        <vertAlign val="baseline"/>
      </font>
      <numFmt numFmtId="0" formatCode="General"/>
      <alignment horizontal="right" vertical="top" wrapText="1" readingOrder="2"/>
    </dxf>
    <dxf>
      <font>
        <name val="Dubai"/>
        <family val="2"/>
        <strike val="0"/>
        <outline val="0"/>
        <shadow val="0"/>
        <color theme="1"/>
        <sz val="10"/>
        <vertAlign val="baseline"/>
      </font>
      <numFmt numFmtId="0" formatCode="General"/>
      <alignment horizontal="right" vertical="top" wrapText="1"/>
    </dxf>
    <dxf>
      <font>
        <name val="Dubai"/>
        <family val="2"/>
        <strike val="0"/>
        <outline val="0"/>
        <shadow val="0"/>
        <color theme="1"/>
        <sz val="10"/>
        <vertAlign val="baseline"/>
      </font>
      <numFmt numFmtId="0" formatCode="General"/>
      <alignment horizontal="right" vertical="top" wrapText="1" readingOrder="2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right" vertical="top" wrapText="1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right" vertical="top" wrapText="1"/>
    </dxf>
    <dxf>
      <font>
        <name val="Dubai"/>
        <family val="2"/>
        <strike val="0"/>
        <outline val="0"/>
        <shadow val="0"/>
        <color theme="1"/>
        <sz val="10"/>
        <vertAlign val="baseline"/>
      </font>
      <alignment horizontal="right" vertical="top" wrapText="1" readingOrder="2"/>
    </dxf>
    <dxf>
      <font>
        <name val="Dubai"/>
        <family val="2"/>
        <strike val="0"/>
        <outline val="0"/>
        <shadow val="0"/>
        <color theme="1"/>
        <sz val="10"/>
        <vertAlign val="baseline"/>
      </font>
      <numFmt numFmtId="0" formatCode="General"/>
      <alignment horizontal="right" vertical="top" wrapText="1" readingOrder="2"/>
    </dxf>
    <dxf>
      <font>
        <name val="Dubai"/>
        <family val="2"/>
        <strike val="0"/>
        <outline val="0"/>
        <shadow val="0"/>
        <color theme="1"/>
        <sz val="10"/>
        <vertAlign val="baseline"/>
      </font>
      <numFmt numFmtId="0" formatCode="General"/>
      <alignment horizontal="right" vertical="top" wrapText="1" readingOrder="2"/>
    </dxf>
    <dxf>
      <font>
        <name val="Dubai"/>
        <family val="2"/>
        <strike val="0"/>
        <outline val="0"/>
        <shadow val="0"/>
        <color theme="1"/>
        <sz val="10"/>
        <vertAlign val="baseline"/>
      </font>
      <alignment horizontal="right" vertical="top" wrapText="1" readingOrder="2"/>
    </dxf>
    <dxf>
      <font>
        <name val="Dubai"/>
        <family val="2"/>
        <strike val="0"/>
        <outline val="0"/>
        <shadow val="0"/>
        <color theme="1"/>
        <sz val="10"/>
        <vertAlign val="baseline"/>
      </font>
      <numFmt numFmtId="0" formatCode="General"/>
      <alignment horizontal="right" vertical="top" wrapText="1" readingOrder="2"/>
    </dxf>
    <dxf>
      <font>
        <name val="Dubai"/>
        <family val="2"/>
        <strike val="0"/>
        <outline val="0"/>
        <shadow val="0"/>
        <color theme="1"/>
        <sz val="10"/>
        <vertAlign val="baseline"/>
      </font>
      <numFmt numFmtId="0" formatCode="General"/>
      <alignment horizontal="right" vertical="top" wrapText="1" readingOrder="2"/>
    </dxf>
    <dxf>
      <font>
        <name val="Dubai"/>
        <family val="2"/>
        <strike val="0"/>
        <outline val="0"/>
        <shadow val="0"/>
        <color theme="1"/>
        <sz val="10"/>
        <vertAlign val="baseline"/>
      </font>
      <alignment horizontal="right" vertical="top" wrapText="1" readingOrder="2"/>
    </dxf>
    <dxf>
      <font>
        <name val="Dubai"/>
        <family val="2"/>
        <strike val="0"/>
        <outline val="0"/>
        <shadow val="0"/>
        <color theme="1"/>
        <sz val="10"/>
        <vertAlign val="baseline"/>
      </font>
      <numFmt numFmtId="0" formatCode="General"/>
      <alignment horizontal="right" vertical="top" wrapText="1" readingOrder="2"/>
    </dxf>
    <dxf>
      <font>
        <name val="Dubai"/>
        <family val="2"/>
        <strike val="0"/>
        <outline val="0"/>
        <shadow val="0"/>
        <color theme="1"/>
        <sz val="10"/>
        <vertAlign val="baseline"/>
      </font>
      <numFmt numFmtId="0" formatCode="General"/>
      <alignment horizontal="right" vertical="top" wrapText="1" readingOrder="2"/>
    </dxf>
    <dxf>
      <font>
        <name val="Dubai"/>
        <family val="2"/>
        <strike val="0"/>
        <outline val="0"/>
        <shadow val="0"/>
        <color theme="1"/>
        <sz val="10"/>
        <vertAlign val="baseline"/>
      </font>
      <alignment horizontal="right" vertical="top" wrapText="1" readingOrder="2"/>
    </dxf>
    <dxf>
      <font>
        <name val="Dubai"/>
        <family val="2"/>
        <strike val="0"/>
        <outline val="0"/>
        <shadow val="0"/>
        <color theme="1"/>
        <sz val="10"/>
        <vertAlign val="baseline"/>
      </font>
      <numFmt numFmtId="0" formatCode="General"/>
      <alignment horizontal="right" vertical="top" wrapText="1" readingOrder="2"/>
    </dxf>
    <dxf>
      <font>
        <name val="Dubai"/>
        <family val="2"/>
        <strike val="0"/>
        <outline val="0"/>
        <shadow val="0"/>
        <color theme="1"/>
        <sz val="10"/>
        <vertAlign val="baseline"/>
      </font>
      <numFmt numFmtId="0" formatCode="General"/>
      <alignment horizontal="right" vertical="top" wrapText="1" readingOrder="2"/>
    </dxf>
    <dxf>
      <font>
        <name val="Dubai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0" formatCode="General"/>
      <alignment horizontal="right" vertical="top" wrapText="1"/>
    </dxf>
    <dxf>
      <font>
        <name val="Dubai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0" formatCode="General"/>
      <alignment horizontal="right" vertical="top" wrapText="1"/>
    </dxf>
    <dxf>
      <font>
        <name val="Dubai"/>
        <family val="2"/>
        <strike val="0"/>
        <outline val="0"/>
        <shadow val="0"/>
        <color theme="1"/>
        <sz val="10"/>
        <vertAlign val="baseline"/>
      </font>
      <numFmt numFmtId="0" formatCode="General"/>
      <alignment horizontal="right" vertical="top" wrapText="1" readingOrder="2"/>
    </dxf>
    <dxf>
      <font>
        <name val="Dubai"/>
        <family val="2"/>
        <strike val="0"/>
        <outline val="0"/>
        <shadow val="0"/>
        <color theme="1"/>
        <sz val="10"/>
        <vertAlign val="baseline"/>
      </font>
      <alignment horizontal="right" vertical="top" wrapText="1"/>
    </dxf>
    <dxf>
      <font>
        <name val="Dubai"/>
        <family val="2"/>
        <strike val="0"/>
        <outline val="0"/>
        <shadow val="0"/>
        <color theme="1"/>
        <sz val="10"/>
        <vertAlign val="baseline"/>
      </font>
      <alignment horizontal="right" vertical="top" wrapText="1"/>
    </dxf>
    <dxf>
      <font>
        <name val="Dubai"/>
        <family val="2"/>
        <strike val="0"/>
        <outline val="0"/>
        <shadow val="0"/>
        <color theme="1"/>
        <sz val="10"/>
        <vertAlign val="baseline"/>
      </font>
      <alignment horizontal="right" vertical="top" wrapText="1"/>
    </dxf>
    <dxf>
      <numFmt numFmtId="0" formatCode="General"/>
      <alignment horizontal="right" vertical="top" wrapText="1"/>
    </dxf>
    <dxf>
      <font>
        <name val="Dubai"/>
        <family val="2"/>
        <strike val="0"/>
        <outline val="0"/>
        <shadow val="0"/>
        <color theme="1"/>
        <sz val="10"/>
        <vertAlign val="baseline"/>
      </font>
      <numFmt numFmtId="0" formatCode="General"/>
      <alignment horizontal="right" vertical="top" wrapText="1" readingOrder="2"/>
    </dxf>
    <dxf>
      <font>
        <name val="Dubai"/>
        <family val="2"/>
        <strike val="0"/>
        <outline val="0"/>
        <shadow val="0"/>
        <color theme="1"/>
        <sz val="10"/>
        <vertAlign val="baseline"/>
      </font>
      <numFmt numFmtId="0" formatCode="General"/>
      <alignment horizontal="right" vertical="top" wrapText="1" readingOrder="2"/>
    </dxf>
    <dxf>
      <font>
        <name val="Dubai"/>
        <family val="2"/>
        <strike val="0"/>
        <outline val="0"/>
        <shadow val="0"/>
        <color theme="1"/>
        <sz val="10"/>
        <vertAlign val="baseline"/>
      </font>
      <numFmt numFmtId="0" formatCode="General"/>
      <alignment horizontal="right" vertical="top"/>
    </dxf>
    <dxf>
      <font>
        <name val="Dubai"/>
        <family val="2"/>
        <strike val="0"/>
        <outline val="0"/>
        <shadow val="0"/>
        <color theme="1"/>
        <sz val="10"/>
        <vertAlign val="baseline"/>
      </font>
      <numFmt numFmtId="0" formatCode="General"/>
      <alignment horizontal="right" vertical="top"/>
    </dxf>
    <dxf>
      <font>
        <name val="Dubai"/>
        <family val="2"/>
        <strike val="0"/>
        <outline val="0"/>
        <shadow val="0"/>
        <color theme="1"/>
        <sz val="10"/>
        <vertAlign val="baseline"/>
      </font>
      <numFmt numFmtId="0" formatCode="General"/>
      <alignment horizontal="right" vertical="top"/>
    </dxf>
    <dxf>
      <font>
        <name val="Dubai"/>
        <family val="2"/>
        <strike val="0"/>
        <outline val="0"/>
        <shadow val="0"/>
        <color theme="1"/>
        <sz val="10"/>
        <vertAlign val="baseline"/>
      </font>
      <alignment horizontal="right" vertical="top"/>
    </dxf>
    <dxf>
      <font>
        <name val="Dubai"/>
        <family val="2"/>
        <strike val="0"/>
        <outline val="0"/>
        <shadow val="0"/>
        <color theme="1"/>
        <sz val="10"/>
        <vertAlign val="baseline"/>
      </font>
      <alignment horizontal="right" vertical="top"/>
    </dxf>
    <dxf>
      <font>
        <name val="Dubai"/>
        <family val="2"/>
        <strike val="0"/>
        <outline val="0"/>
        <shadow val="0"/>
        <color theme="1"/>
        <sz val="10"/>
        <vertAlign val="baseline"/>
      </font>
      <alignment horizontal="right" vertical="top"/>
    </dxf>
    <dxf>
      <font>
        <name val="Dubai"/>
        <family val="2"/>
        <strike val="0"/>
        <outline val="0"/>
        <shadow val="0"/>
        <color theme="1"/>
        <sz val="10"/>
        <vertAlign val="baseline"/>
      </font>
      <alignment horizontal="right" vertical="top"/>
    </dxf>
    <dxf>
      <font>
        <name val="Dubai"/>
        <family val="2"/>
        <strike val="0"/>
        <outline val="0"/>
        <shadow val="0"/>
        <color theme="1"/>
        <sz val="10"/>
        <vertAlign val="baseline"/>
      </font>
      <alignment horizontal="right" vertical="top" wrapText="1"/>
    </dxf>
    <dxf>
      <font>
        <name val="Dubai"/>
        <family val="2"/>
        <strike val="0"/>
        <outline val="0"/>
        <shadow val="0"/>
        <color theme="1"/>
        <sz val="10"/>
        <vertAlign val="baseline"/>
      </font>
      <numFmt numFmtId="0" formatCode="General"/>
      <alignment horizontal="right" vertical="top" wrapText="1"/>
    </dxf>
    <dxf>
      <font>
        <name val="Dubai"/>
        <family val="2"/>
        <strike val="0"/>
        <outline val="0"/>
        <shadow val="0"/>
        <color theme="1"/>
        <sz val="10"/>
        <vertAlign val="baseline"/>
      </font>
      <numFmt numFmtId="166" formatCode="[$-409]d\-mmm\-yy;@"/>
      <alignment horizontal="right" vertical="top"/>
    </dxf>
    <dxf>
      <font>
        <name val="Dubai"/>
        <family val="2"/>
        <strike val="0"/>
        <outline val="0"/>
        <shadow val="0"/>
        <color theme="1"/>
        <sz val="10"/>
        <vertAlign val="baseline"/>
      </font>
      <numFmt numFmtId="166" formatCode="[$-409]d\-mmm\-yy;@"/>
      <alignment horizontal="right" vertical="top"/>
    </dxf>
    <dxf>
      <font>
        <name val="Dubai"/>
        <family val="2"/>
        <strike val="0"/>
        <outline val="0"/>
        <shadow val="0"/>
        <color theme="1"/>
        <sz val="10"/>
        <vertAlign val="baseline"/>
      </font>
      <numFmt numFmtId="166" formatCode="[$-409]d\-mmm\-yy;@"/>
      <alignment horizontal="right" vertical="top"/>
    </dxf>
    <dxf>
      <font>
        <name val="Dubai"/>
        <family val="2"/>
        <strike val="0"/>
        <outline val="0"/>
        <shadow val="0"/>
        <color theme="1"/>
        <sz val="10"/>
        <vertAlign val="baseline"/>
      </font>
      <numFmt numFmtId="166" formatCode="[$-409]d\-mmm\-yy;@"/>
      <alignment horizontal="right" vertical="top"/>
    </dxf>
    <dxf>
      <font>
        <name val="Dubai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166" formatCode="[$-409]d\-mmm\-yy;@"/>
      <alignment horizontal="right" vertical="top"/>
    </dxf>
    <dxf>
      <font>
        <name val="Dubai"/>
        <family val="2"/>
        <strike val="0"/>
        <outline val="0"/>
        <shadow val="0"/>
        <color theme="1"/>
        <sz val="10"/>
        <vertAlign val="baseline"/>
      </font>
      <numFmt numFmtId="166" formatCode="[$-409]d\-mmm\-yy;@"/>
      <alignment horizontal="right" vertical="top"/>
    </dxf>
    <dxf>
      <font>
        <name val="Dubai"/>
        <family val="2"/>
        <strike val="0"/>
        <outline val="0"/>
        <shadow val="0"/>
        <color theme="1"/>
        <sz val="10"/>
        <vertAlign val="baseline"/>
      </font>
      <numFmt numFmtId="166" formatCode="[$-409]d\-mmm\-yy;@"/>
      <alignment horizontal="right" vertical="top"/>
    </dxf>
    <dxf>
      <font>
        <name val="Dubai"/>
        <family val="2"/>
        <strike val="0"/>
        <outline val="0"/>
        <shadow val="0"/>
        <color theme="1"/>
        <sz val="10"/>
        <vertAlign val="baseline"/>
      </font>
      <numFmt numFmtId="166" formatCode="[$-409]d\-mmm\-yy;@"/>
      <alignment horizontal="right" vertical="top"/>
    </dxf>
    <dxf>
      <font>
        <name val="Dubai"/>
        <family val="2"/>
        <strike val="0"/>
        <outline val="0"/>
        <shadow val="0"/>
        <color theme="1"/>
        <sz val="10"/>
        <vertAlign val="baseline"/>
      </font>
      <numFmt numFmtId="166" formatCode="[$-409]d\-mmm\-yy;@"/>
      <alignment horizontal="right" vertical="top"/>
    </dxf>
    <dxf>
      <font>
        <name val="Dubai"/>
        <family val="2"/>
        <strike val="0"/>
        <outline val="0"/>
        <shadow val="0"/>
        <color theme="1"/>
        <sz val="10"/>
        <vertAlign val="baseline"/>
      </font>
      <alignment horizontal="right" vertical="top"/>
    </dxf>
    <dxf>
      <font>
        <name val="Dubai"/>
        <family val="2"/>
        <strike val="0"/>
        <outline val="0"/>
        <shadow val="0"/>
        <color theme="1"/>
        <sz val="10"/>
        <vertAlign val="baseline"/>
      </font>
      <alignment horizontal="right" vertical="top"/>
    </dxf>
    <dxf>
      <font>
        <name val="Dubai"/>
        <family val="2"/>
        <strike val="0"/>
        <outline val="0"/>
        <shadow val="0"/>
        <color theme="1"/>
        <sz val="10"/>
        <vertAlign val="baseline"/>
      </font>
      <alignment horizontal="right" vertical="top" wrapText="1"/>
    </dxf>
    <dxf>
      <font>
        <name val="Dubai"/>
        <family val="2"/>
        <strike val="0"/>
        <outline val="0"/>
        <shadow val="0"/>
        <color theme="1"/>
        <sz val="10"/>
        <vertAlign val="baseline"/>
      </font>
      <alignment horizontal="right" vertical="top"/>
    </dxf>
    <dxf>
      <font>
        <name val="Dubai"/>
        <family val="2"/>
        <strike val="0"/>
        <outline val="0"/>
        <shadow val="0"/>
        <color theme="1"/>
        <sz val="10"/>
        <vertAlign val="baseline"/>
      </font>
      <alignment horizontal="right" vertical="top"/>
    </dxf>
    <dxf>
      <font>
        <name val="Dubai"/>
        <family val="2"/>
        <strike val="0"/>
        <outline val="0"/>
        <shadow val="0"/>
        <color theme="1"/>
        <sz val="10"/>
        <vertAlign val="baseline"/>
      </font>
      <alignment horizontal="right" vertical="top"/>
    </dxf>
    <dxf>
      <font>
        <name val="Dubai"/>
        <family val="2"/>
        <strike val="0"/>
        <outline val="0"/>
        <shadow val="0"/>
        <color theme="1"/>
        <sz val="10"/>
        <vertAlign val="baseline"/>
      </font>
      <alignment horizontal="right" vertical="top"/>
    </dxf>
    <dxf>
      <font>
        <name val="Dubai"/>
        <family val="2"/>
        <strike val="0"/>
        <outline val="0"/>
        <shadow val="0"/>
        <color theme="1"/>
        <sz val="10"/>
        <vertAlign val="baseline"/>
      </font>
      <numFmt numFmtId="0" formatCode="General"/>
      <alignment horizontal="right" vertical="top"/>
    </dxf>
    <dxf>
      <font>
        <name val="Dubai"/>
        <family val="2"/>
        <strike val="0"/>
        <outline val="0"/>
        <shadow val="0"/>
        <color theme="1"/>
        <sz val="10"/>
        <vertAlign val="baseline"/>
      </font>
      <alignment horizontal="right" vertical="top"/>
    </dxf>
    <dxf>
      <font>
        <name val="Dubai"/>
        <family val="2"/>
        <strike val="0"/>
        <outline val="0"/>
        <shadow val="0"/>
        <color theme="1"/>
        <sz val="10"/>
        <vertAlign val="baseline"/>
      </font>
      <alignment horizontal="right" vertical="top"/>
    </dxf>
    <dxf>
      <font>
        <name val="Dubai"/>
        <family val="2"/>
        <strike val="0"/>
        <outline val="0"/>
        <shadow val="0"/>
        <color theme="1"/>
        <sz val="10"/>
        <vertAlign val="baseline"/>
      </font>
      <alignment horizontal="right" vertical="top"/>
    </dxf>
    <dxf>
      <font>
        <name val="Dubai"/>
        <family val="2"/>
        <strike val="0"/>
        <outline val="0"/>
        <shadow val="0"/>
        <color theme="1"/>
        <sz val="10"/>
        <vertAlign val="baseline"/>
      </font>
      <alignment horizontal="right" vertical="top"/>
    </dxf>
    <dxf>
      <font>
        <name val="Dubai"/>
        <family val="2"/>
        <strike val="0"/>
        <outline val="0"/>
        <shadow val="0"/>
        <color theme="1"/>
        <sz val="10"/>
        <vertAlign val="baseline"/>
      </font>
      <alignment horizontal="right" vertical="top"/>
    </dxf>
    <dxf>
      <font>
        <name val="Dubai"/>
        <family val="2"/>
        <strike val="0"/>
        <outline val="0"/>
        <shadow val="0"/>
        <color theme="1"/>
        <sz val="10"/>
        <vertAlign val="baseline"/>
      </font>
      <numFmt numFmtId="0" formatCode="General"/>
      <alignment horizontal="right" vertical="top"/>
    </dxf>
    <dxf>
      <font>
        <name val="Dubai"/>
        <family val="2"/>
        <strike val="0"/>
        <outline val="0"/>
        <shadow val="0"/>
        <color theme="1"/>
        <sz val="10"/>
        <vertAlign val="baseline"/>
      </font>
      <numFmt numFmtId="0" formatCode="General"/>
      <alignment horizontal="right" vertical="top"/>
    </dxf>
    <dxf>
      <font>
        <name val="Dubai"/>
        <family val="2"/>
        <strike val="0"/>
        <outline val="0"/>
        <shadow val="0"/>
        <color theme="1"/>
        <sz val="10"/>
        <vertAlign val="baseline"/>
      </font>
      <numFmt numFmtId="0" formatCode="General"/>
      <alignment horizontal="right" vertical="top"/>
    </dxf>
    <dxf>
      <alignment horizontal="right" vertical="top"/>
    </dxf>
    <dxf>
      <font>
        <name val="Dubai"/>
        <family val="2"/>
        <strike val="0"/>
        <outline val="0"/>
        <shadow val="0"/>
        <color theme="1"/>
        <sz val="10"/>
        <vertAlign val="baseline"/>
      </font>
      <numFmt numFmtId="0" formatCode="General"/>
      <alignment horizontal="right" vertical="top"/>
    </dxf>
    <dxf>
      <font>
        <name val="Dubai"/>
        <family val="2"/>
        <strike val="0"/>
        <outline val="0"/>
        <shadow val="0"/>
        <color theme="1"/>
        <sz val="10"/>
        <vertAlign val="baseline"/>
      </font>
      <alignment horizontal="right" vertical="top"/>
    </dxf>
    <dxf>
      <font>
        <name val="Dubai"/>
        <family val="2"/>
        <strike val="0"/>
        <outline val="0"/>
        <shadow val="0"/>
        <color theme="1"/>
        <sz val="10"/>
        <vertAlign val="baseline"/>
      </font>
      <numFmt numFmtId="19" formatCode="m/d/yyyy"/>
      <alignment horizontal="right" vertical="top"/>
    </dxf>
    <dxf>
      <font>
        <name val="Dubai"/>
        <family val="2"/>
        <strike val="0"/>
        <outline val="0"/>
        <shadow val="0"/>
        <color theme="1"/>
        <sz val="10"/>
        <vertAlign val="baseline"/>
      </font>
      <alignment horizontal="right" vertical="top"/>
    </dxf>
    <dxf>
      <font>
        <name val="Dubai"/>
        <family val="2"/>
        <strike val="0"/>
        <outline val="0"/>
        <shadow val="0"/>
        <color theme="1"/>
        <sz val="10"/>
        <vertAlign val="baseline"/>
      </font>
      <numFmt numFmtId="0" formatCode="General"/>
      <alignment horizontal="right" vertical="top"/>
    </dxf>
    <dxf>
      <font>
        <name val="Dubai"/>
        <family val="2"/>
        <strike val="0"/>
        <outline val="0"/>
        <shadow val="0"/>
        <color theme="1"/>
        <sz val="10"/>
        <vertAlign val="baseline"/>
      </font>
      <numFmt numFmtId="0" formatCode="General"/>
      <alignment horizontal="right" vertical="top"/>
    </dxf>
    <dxf>
      <font>
        <name val="Dubai"/>
        <family val="2"/>
        <strike val="0"/>
        <outline val="0"/>
        <shadow val="0"/>
        <color theme="1"/>
        <sz val="10"/>
        <vertAlign val="baseline"/>
      </font>
      <alignment horizontal="right" vertical="top"/>
    </dxf>
    <dxf>
      <font>
        <name val="Dubai"/>
        <family val="2"/>
        <strike val="0"/>
        <outline val="0"/>
        <shadow val="0"/>
        <color theme="1"/>
        <sz val="10"/>
        <vertAlign val="baseline"/>
      </font>
      <numFmt numFmtId="0" formatCode="General"/>
      <alignment horizontal="right" vertical="top"/>
    </dxf>
    <dxf>
      <font>
        <name val="Dubai"/>
        <family val="2"/>
        <strike val="0"/>
        <outline val="0"/>
        <shadow val="0"/>
        <color theme="1"/>
        <sz val="10"/>
        <vertAlign val="baseline"/>
      </font>
      <numFmt numFmtId="0" formatCode="General"/>
      <alignment horizontal="right" vertical="top"/>
    </dxf>
    <dxf>
      <font>
        <name val="Dubai"/>
        <family val="2"/>
        <strike val="0"/>
        <outline val="0"/>
        <shadow val="0"/>
        <color theme="1"/>
        <sz val="10"/>
        <vertAlign val="baseline"/>
      </font>
      <numFmt numFmtId="0" formatCode="General"/>
      <alignment horizontal="right" vertical="top"/>
    </dxf>
    <dxf>
      <numFmt numFmtId="0" formatCode="General"/>
      <alignment horizontal="right" vertical="top"/>
    </dxf>
    <dxf>
      <font>
        <name val="Dubai"/>
        <family val="2"/>
        <strike val="0"/>
        <outline val="0"/>
        <shadow val="0"/>
        <color theme="1"/>
        <sz val="10"/>
        <vertAlign val="baseline"/>
      </font>
      <alignment horizontal="right" vertical="top"/>
    </dxf>
    <dxf>
      <font>
        <name val="Dubai"/>
        <family val="2"/>
        <strike val="0"/>
        <outline val="0"/>
        <shadow val="0"/>
        <color theme="1"/>
        <sz val="10"/>
        <vertAlign val="baseline"/>
      </font>
      <alignment horizontal="right" vertical="top"/>
    </dxf>
    <dxf>
      <font>
        <name val="Dubai"/>
        <family val="2"/>
        <strike val="0"/>
        <outline val="0"/>
        <shadow val="0"/>
        <color auto="1"/>
        <sz val="10"/>
        <vertAlign val="baseline"/>
      </font>
      <numFmt numFmtId="0" formatCode="General"/>
      <fill>
        <patternFill>
          <fgColor indexed="64"/>
          <bgColor indexed="65"/>
        </patternFill>
      </fill>
      <alignment horizontal="right" vertical="top"/>
    </dxf>
    <dxf>
      <font>
        <name val="Dubai"/>
        <family val="2"/>
        <strike val="0"/>
        <outline val="0"/>
        <shadow val="0"/>
        <color auto="1"/>
        <sz val="10"/>
        <vertAlign val="baseline"/>
      </font>
      <fill>
        <patternFill>
          <fgColor indexed="64"/>
          <bgColor indexed="65"/>
        </patternFill>
      </fill>
      <alignment horizontal="right" vertical="top"/>
    </dxf>
    <dxf>
      <font>
        <name val="Dubai"/>
        <family val="2"/>
        <strike val="0"/>
        <outline val="0"/>
        <shadow val="0"/>
        <color auto="1"/>
        <sz val="10"/>
        <vertAlign val="baseline"/>
      </font>
      <fill>
        <patternFill>
          <fgColor indexed="64"/>
          <bgColor indexed="65"/>
        </patternFill>
      </fill>
      <alignment horizontal="right" vertical="top"/>
    </dxf>
    <dxf>
      <font>
        <name val="Dubai"/>
        <family val="2"/>
        <strike val="0"/>
        <outline val="0"/>
        <shadow val="0"/>
        <color auto="1"/>
        <sz val="10"/>
        <vertAlign val="baseline"/>
      </font>
      <numFmt numFmtId="0" formatCode="General"/>
      <fill>
        <patternFill>
          <fgColor indexed="64"/>
          <bgColor indexed="65"/>
        </patternFill>
      </fill>
      <alignment horizontal="right" vertical="top"/>
    </dxf>
    <dxf>
      <font>
        <name val="Dubai"/>
        <family val="2"/>
        <strike val="0"/>
        <outline val="0"/>
        <shadow val="0"/>
        <color auto="1"/>
        <sz val="10"/>
        <vertAlign val="baseline"/>
      </font>
      <fill>
        <patternFill>
          <fgColor indexed="64"/>
          <bgColor indexed="65"/>
        </patternFill>
      </fill>
      <alignment horizontal="right" vertical="top"/>
    </dxf>
    <dxf>
      <font>
        <name val="Dubai"/>
        <family val="2"/>
        <strike val="0"/>
        <outline val="0"/>
        <shadow val="0"/>
        <color auto="1"/>
        <sz val="10"/>
        <vertAlign val="baseline"/>
      </font>
      <fill>
        <patternFill>
          <fgColor indexed="64"/>
          <bgColor indexed="65"/>
        </patternFill>
      </fill>
      <alignment horizontal="right" vertical="top"/>
    </dxf>
    <dxf>
      <font>
        <name val="Dubai"/>
        <family val="2"/>
        <strike val="0"/>
        <outline val="0"/>
        <shadow val="0"/>
        <color auto="1"/>
        <sz val="10"/>
        <vertAlign val="baseline"/>
      </font>
      <numFmt numFmtId="0" formatCode="General"/>
      <fill>
        <patternFill>
          <fgColor indexed="64"/>
          <bgColor indexed="65"/>
        </patternFill>
      </fill>
      <alignment horizontal="right" vertical="top"/>
    </dxf>
    <dxf>
      <font>
        <name val="Dubai"/>
        <family val="2"/>
        <strike val="0"/>
        <outline val="0"/>
        <shadow val="0"/>
        <color auto="1"/>
        <sz val="10"/>
        <vertAlign val="baseline"/>
      </font>
      <numFmt numFmtId="0" formatCode="General"/>
      <fill>
        <patternFill>
          <fgColor indexed="64"/>
          <bgColor indexed="65"/>
        </patternFill>
      </fill>
      <alignment horizontal="right" vertical="top"/>
    </dxf>
    <dxf>
      <font>
        <name val="Dubai"/>
        <family val="2"/>
        <strike val="0"/>
        <outline val="0"/>
        <shadow val="0"/>
        <color auto="1"/>
        <sz val="10"/>
        <vertAlign val="baseline"/>
      </font>
      <numFmt numFmtId="0" formatCode="General"/>
      <fill>
        <patternFill>
          <fgColor indexed="64"/>
          <bgColor indexed="65"/>
        </patternFill>
      </fill>
      <alignment horizontal="right" vertical="top"/>
    </dxf>
    <dxf>
      <font>
        <name val="Dubai"/>
        <family val="2"/>
        <strike val="0"/>
        <outline val="0"/>
        <shadow val="0"/>
        <color auto="1"/>
        <sz val="10"/>
        <vertAlign val="baseline"/>
      </font>
      <numFmt numFmtId="0" formatCode="General"/>
      <fill>
        <patternFill>
          <fgColor indexed="64"/>
          <bgColor indexed="65"/>
        </patternFill>
      </fill>
      <alignment horizontal="right" vertical="top"/>
    </dxf>
    <dxf>
      <font>
        <name val="Dubai"/>
        <family val="2"/>
        <strike val="0"/>
        <outline val="0"/>
        <shadow val="0"/>
        <color auto="1"/>
        <sz val="10"/>
        <vertAlign val="baseline"/>
      </font>
      <numFmt numFmtId="0" formatCode="General"/>
      <fill>
        <patternFill>
          <fgColor indexed="64"/>
          <bgColor indexed="65"/>
        </patternFill>
      </fill>
      <alignment horizontal="right" vertical="top"/>
    </dxf>
    <dxf>
      <alignment horizontal="right" vertical="top"/>
    </dxf>
    <dxf>
      <font>
        <name val="Dubai"/>
        <family val="2"/>
        <strike val="0"/>
        <outline val="0"/>
        <shadow val="0"/>
        <color auto="1"/>
        <sz val="10"/>
        <vertAlign val="baseline"/>
      </font>
      <numFmt numFmtId="0" formatCode="General"/>
      <fill>
        <patternFill>
          <fgColor indexed="64"/>
          <bgColor indexed="65"/>
        </patternFill>
      </fill>
      <alignment horizontal="right" vertical="top"/>
    </dxf>
    <dxf>
      <font>
        <name val="Dubai"/>
        <family val="2"/>
        <strike val="0"/>
        <outline val="0"/>
        <shadow val="0"/>
        <color auto="1"/>
        <sz val="10"/>
        <vertAlign val="baseline"/>
      </font>
      <numFmt numFmtId="0" formatCode="General"/>
      <fill>
        <patternFill>
          <fgColor indexed="64"/>
          <bgColor indexed="65"/>
        </patternFill>
      </fill>
      <alignment horizontal="right" vertical="top"/>
    </dxf>
    <dxf>
      <font>
        <name val="Dubai"/>
        <family val="2"/>
        <strike val="0"/>
        <outline val="0"/>
        <shadow val="0"/>
        <color auto="1"/>
        <sz val="10"/>
        <vertAlign val="baseline"/>
      </font>
      <numFmt numFmtId="0" formatCode="General"/>
      <fill>
        <patternFill>
          <fgColor indexed="64"/>
          <bgColor indexed="65"/>
        </patternFill>
      </fill>
      <alignment horizontal="right" vertical="top"/>
    </dxf>
    <dxf>
      <font>
        <name val="Dubai"/>
        <family val="2"/>
        <strike val="0"/>
        <outline val="0"/>
        <shadow val="0"/>
        <color auto="1"/>
        <sz val="10"/>
        <vertAlign val="baseline"/>
      </font>
      <numFmt numFmtId="0" formatCode="General"/>
      <fill>
        <patternFill>
          <fgColor indexed="64"/>
          <bgColor indexed="65"/>
        </patternFill>
      </fill>
      <alignment horizontal="right" vertical="top"/>
    </dxf>
    <dxf>
      <numFmt numFmtId="0" formatCode="General"/>
      <alignment horizontal="right" vertical="top"/>
    </dxf>
    <dxf>
      <font>
        <name val="Dubai"/>
        <family val="2"/>
        <strike val="0"/>
        <outline val="0"/>
        <shadow val="0"/>
        <color auto="1"/>
        <sz val="10"/>
        <vertAlign val="baseline"/>
      </font>
      <fill>
        <patternFill>
          <fgColor indexed="64"/>
          <bgColor auto="1"/>
        </patternFill>
      </fill>
      <alignment horizontal="right" vertical="top"/>
    </dxf>
    <dxf>
      <font>
        <name val="Dubai"/>
        <family val="2"/>
        <strike val="0"/>
        <outline val="0"/>
        <shadow val="0"/>
        <color theme="1"/>
        <sz val="10"/>
        <vertAlign val="baseline"/>
      </font>
      <alignment horizontal="right" vertical="top"/>
    </dxf>
    <dxf>
      <font>
        <name val="Dubai"/>
        <family val="2"/>
        <strike val="0"/>
        <outline val="0"/>
        <shadow val="0"/>
        <color theme="1"/>
        <sz val="10"/>
        <vertAlign val="baseline"/>
      </font>
      <alignment horizontal="right" vertical="top" readingOrder="2"/>
    </dxf>
    <dxf>
      <font>
        <name val="Dubai"/>
        <family val="2"/>
        <strike val="0"/>
        <outline val="0"/>
        <shadow val="0"/>
        <color theme="1"/>
        <sz val="10"/>
        <vertAlign val="baseline"/>
      </font>
      <numFmt numFmtId="0" formatCode="General"/>
      <alignment horizontal="right" vertical="top" readingOrder="2"/>
    </dxf>
    <dxf>
      <font>
        <name val="Dubai"/>
        <family val="2"/>
        <strike val="0"/>
        <outline val="0"/>
        <shadow val="0"/>
        <color theme="1"/>
        <sz val="10"/>
        <vertAlign val="baseline"/>
      </font>
      <numFmt numFmtId="0" formatCode="General"/>
      <alignment horizontal="right" vertical="top" readingOrder="2"/>
    </dxf>
    <dxf>
      <font>
        <name val="Dubai"/>
        <family val="2"/>
        <strike val="0"/>
        <outline val="0"/>
        <shadow val="0"/>
        <color theme="1"/>
        <sz val="10"/>
        <vertAlign val="baseline"/>
      </font>
      <alignment horizontal="right" vertical="top" readingOrder="2"/>
    </dxf>
    <dxf>
      <font>
        <name val="Dubai"/>
        <family val="2"/>
        <strike val="0"/>
        <outline val="0"/>
        <shadow val="0"/>
        <color theme="1"/>
        <sz val="10"/>
        <vertAlign val="baseline"/>
      </font>
      <alignment horizontal="right" vertical="top" readingOrder="2"/>
    </dxf>
    <dxf>
      <font>
        <name val="Dubai"/>
        <family val="2"/>
        <strike val="0"/>
        <outline val="0"/>
        <shadow val="0"/>
        <color theme="1"/>
        <sz val="10"/>
        <vertAlign val="baseline"/>
      </font>
      <alignment horizontal="right" vertical="top" readingOrder="2"/>
    </dxf>
    <dxf>
      <font>
        <name val="Dubai"/>
        <family val="2"/>
        <strike val="0"/>
        <outline val="0"/>
        <shadow val="0"/>
        <color theme="1"/>
        <sz val="10"/>
        <vertAlign val="baseline"/>
      </font>
      <alignment horizontal="right" vertical="top" readingOrder="2"/>
    </dxf>
    <dxf>
      <font>
        <name val="Dubai"/>
        <family val="2"/>
        <strike val="0"/>
        <outline val="0"/>
        <shadow val="0"/>
        <color theme="1"/>
        <sz val="10"/>
        <vertAlign val="baseline"/>
      </font>
      <alignment horizontal="right" vertical="top" readingOrder="2"/>
    </dxf>
    <dxf>
      <font>
        <name val="Dubai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right" vertical="top" readingOrder="2"/>
    </dxf>
    <dxf>
      <font>
        <name val="Dubai"/>
        <family val="2"/>
        <strike val="0"/>
        <outline val="0"/>
        <shadow val="0"/>
        <color theme="1"/>
        <sz val="10"/>
        <vertAlign val="baseline"/>
      </font>
      <alignment horizontal="right" vertical="top" readingOrder="2"/>
    </dxf>
    <dxf>
      <font>
        <name val="Dubai"/>
        <family val="2"/>
        <strike val="0"/>
        <outline val="0"/>
        <shadow val="0"/>
        <color theme="1"/>
        <sz val="10"/>
        <vertAlign val="baseline"/>
      </font>
      <alignment horizontal="right" vertical="top" readingOrder="2"/>
    </dxf>
    <dxf>
      <font>
        <name val="Dubai"/>
        <family val="2"/>
        <strike val="0"/>
        <outline val="0"/>
        <shadow val="0"/>
        <color theme="1"/>
        <sz val="10"/>
        <vertAlign val="baseline"/>
      </font>
      <alignment horizontal="right" vertical="top" readingOrder="2"/>
    </dxf>
    <dxf>
      <font>
        <name val="Dubai"/>
        <family val="2"/>
        <strike val="0"/>
        <outline val="0"/>
        <shadow val="0"/>
        <color theme="1"/>
        <sz val="10"/>
        <vertAlign val="baseline"/>
      </font>
      <alignment horizontal="right" vertical="top" readingOrder="2"/>
    </dxf>
    <dxf>
      <font>
        <name val="Dubai"/>
        <family val="2"/>
        <strike val="0"/>
        <outline val="0"/>
        <shadow val="0"/>
        <color theme="1"/>
        <sz val="10"/>
        <vertAlign val="baseline"/>
      </font>
      <numFmt numFmtId="165" formatCode="[$-409]mmm\-yy;@"/>
      <alignment horizontal="right" vertical="top" readingOrder="2"/>
    </dxf>
    <dxf>
      <font>
        <name val="Dubai"/>
        <family val="2"/>
        <strike val="0"/>
        <outline val="0"/>
        <shadow val="0"/>
        <color theme="1"/>
        <sz val="10"/>
        <vertAlign val="baseline"/>
      </font>
      <numFmt numFmtId="165" formatCode="[$-409]mmm\-yy;@"/>
      <alignment horizontal="right" vertical="top" readingOrder="2"/>
    </dxf>
    <dxf>
      <font>
        <name val="Dubai"/>
        <family val="2"/>
        <strike val="0"/>
        <outline val="0"/>
        <shadow val="0"/>
        <color theme="1"/>
        <sz val="10"/>
        <vertAlign val="baseline"/>
      </font>
      <alignment horizontal="right" vertical="top" readingOrder="2"/>
    </dxf>
    <dxf>
      <font>
        <name val="Dubai"/>
        <family val="2"/>
        <strike val="0"/>
        <outline val="0"/>
        <shadow val="0"/>
        <color theme="1"/>
        <sz val="10"/>
        <vertAlign val="baseline"/>
      </font>
      <alignment horizontal="right" vertical="top" readingOrder="2"/>
    </dxf>
    <dxf>
      <font>
        <name val="Dubai"/>
        <family val="2"/>
        <strike val="0"/>
        <outline val="0"/>
        <shadow val="0"/>
        <color theme="1"/>
        <sz val="10"/>
        <vertAlign val="baseline"/>
      </font>
      <alignment horizontal="right" vertical="top" readingOrder="2"/>
    </dxf>
    <dxf>
      <font>
        <name val="Dubai"/>
        <family val="2"/>
        <strike val="0"/>
        <outline val="0"/>
        <shadow val="0"/>
        <color theme="1"/>
        <sz val="10"/>
        <vertAlign val="baseline"/>
      </font>
      <alignment horizontal="right" vertical="top" readingOrder="2"/>
    </dxf>
    <dxf>
      <font>
        <name val="Dubai"/>
        <family val="2"/>
        <strike val="0"/>
        <outline val="0"/>
        <shadow val="0"/>
        <color theme="1"/>
        <sz val="10"/>
        <vertAlign val="baseline"/>
      </font>
      <alignment horizontal="right" vertical="top" readingOrder="2"/>
    </dxf>
    <dxf>
      <font>
        <name val="Dubai"/>
        <family val="2"/>
        <strike val="0"/>
        <outline val="0"/>
        <shadow val="0"/>
        <color theme="1"/>
        <sz val="10"/>
        <vertAlign val="baseline"/>
      </font>
      <alignment horizontal="right" vertical="top" readingOrder="2"/>
    </dxf>
    <dxf>
      <font>
        <name val="Dubai"/>
        <family val="2"/>
        <strike val="0"/>
        <outline val="0"/>
        <shadow val="0"/>
        <color theme="1"/>
        <sz val="10"/>
        <vertAlign val="baseline"/>
      </font>
      <alignment horizontal="right" vertical="top" readingOrder="2"/>
    </dxf>
    <dxf>
      <font>
        <name val="Dubai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right" vertical="top" readingOrder="2"/>
    </dxf>
    <dxf>
      <font>
        <name val="Dubai"/>
        <family val="2"/>
        <strike val="0"/>
        <outline val="0"/>
        <shadow val="0"/>
        <color theme="1"/>
        <sz val="10"/>
        <vertAlign val="baseline"/>
      </font>
      <alignment horizontal="right" vertical="top" readingOrder="2"/>
    </dxf>
    <dxf>
      <font>
        <name val="Dubai"/>
        <family val="2"/>
        <strike val="0"/>
        <outline val="0"/>
        <shadow val="0"/>
        <color theme="1"/>
        <sz val="10"/>
        <vertAlign val="baseline"/>
      </font>
      <alignment horizontal="right" vertical="top" readingOrder="2"/>
    </dxf>
    <dxf>
      <font>
        <name val="Dubai"/>
        <family val="2"/>
        <strike val="0"/>
        <outline val="0"/>
        <shadow val="0"/>
        <color theme="1"/>
        <sz val="10"/>
        <vertAlign val="baseline"/>
      </font>
      <numFmt numFmtId="0" formatCode="General"/>
      <alignment horizontal="right" vertical="top"/>
    </dxf>
    <dxf>
      <font>
        <name val="Dubai"/>
        <family val="2"/>
        <strike val="0"/>
        <outline val="0"/>
        <shadow val="0"/>
        <color theme="1"/>
        <sz val="10"/>
        <vertAlign val="baseline"/>
      </font>
      <numFmt numFmtId="0" formatCode="General"/>
      <alignment horizontal="right" vertical="top"/>
    </dxf>
    <dxf>
      <font>
        <name val="Dubai"/>
        <family val="2"/>
        <strike val="0"/>
        <outline val="0"/>
        <shadow val="0"/>
        <color theme="1"/>
        <sz val="10"/>
        <vertAlign val="baseline"/>
      </font>
      <numFmt numFmtId="0" formatCode="General"/>
      <alignment horizontal="right" vertical="top"/>
    </dxf>
    <dxf>
      <font>
        <name val="Dubai"/>
        <family val="2"/>
        <strike val="0"/>
        <outline val="0"/>
        <shadow val="0"/>
        <color theme="1"/>
        <sz val="10"/>
        <vertAlign val="baseline"/>
      </font>
      <numFmt numFmtId="0" formatCode="General"/>
      <alignment horizontal="right" vertical="top"/>
    </dxf>
    <dxf>
      <alignment horizontal="right" vertical="top"/>
    </dxf>
    <dxf>
      <font>
        <name val="Dubai"/>
        <family val="2"/>
        <strike val="0"/>
        <outline val="0"/>
        <shadow val="0"/>
        <color theme="1"/>
        <sz val="10"/>
        <vertAlign val="baseline"/>
      </font>
      <alignment horizontal="right" vertical="top"/>
    </dxf>
    <dxf>
      <font>
        <name val="Dubai"/>
        <family val="2"/>
        <strike val="0"/>
        <outline val="0"/>
        <shadow val="0"/>
        <color theme="1"/>
        <sz val="10"/>
        <vertAlign val="baseline"/>
      </font>
      <numFmt numFmtId="0" formatCode="General"/>
      <alignment horizontal="right" vertical="top"/>
    </dxf>
    <dxf>
      <font>
        <name val="Dubai"/>
        <family val="2"/>
        <strike val="0"/>
        <outline val="0"/>
        <shadow val="0"/>
        <color theme="1"/>
        <sz val="10"/>
        <vertAlign val="baseline"/>
      </font>
      <numFmt numFmtId="0" formatCode="General"/>
      <alignment horizontal="right" vertical="top"/>
    </dxf>
    <dxf>
      <font>
        <name val="Dubai"/>
        <family val="2"/>
        <strike val="0"/>
        <outline val="0"/>
        <shadow val="0"/>
        <color theme="1"/>
        <sz val="10"/>
        <vertAlign val="baseline"/>
      </font>
      <alignment horizontal="right" vertical="top"/>
    </dxf>
    <dxf>
      <font>
        <name val="Dubai"/>
        <family val="2"/>
        <strike val="0"/>
        <outline val="0"/>
        <shadow val="0"/>
        <color theme="1"/>
        <sz val="10"/>
        <vertAlign val="baseline"/>
      </font>
      <numFmt numFmtId="0" formatCode="General"/>
      <alignment horizontal="right" vertical="top"/>
    </dxf>
    <dxf>
      <font>
        <name val="Dubai"/>
        <family val="2"/>
        <strike val="0"/>
        <outline val="0"/>
        <shadow val="0"/>
        <color theme="1"/>
        <sz val="10"/>
        <vertAlign val="baseline"/>
      </font>
      <alignment horizontal="right" vertical="top"/>
    </dxf>
    <dxf>
      <font>
        <name val="Dubai"/>
        <family val="2"/>
        <strike val="0"/>
        <outline val="0"/>
        <shadow val="0"/>
        <color theme="1"/>
        <sz val="10"/>
        <vertAlign val="baseline"/>
      </font>
      <numFmt numFmtId="0" formatCode="General"/>
      <alignment horizontal="right" vertical="top"/>
    </dxf>
    <dxf>
      <font>
        <name val="Dubai"/>
        <family val="2"/>
        <strike val="0"/>
        <outline val="0"/>
        <shadow val="0"/>
        <color theme="1"/>
        <sz val="10"/>
        <vertAlign val="baseline"/>
      </font>
      <numFmt numFmtId="0" formatCode="General"/>
      <alignment horizontal="right" vertical="top"/>
    </dxf>
    <dxf>
      <font>
        <name val="Dubai"/>
        <family val="2"/>
        <strike val="0"/>
        <outline val="0"/>
        <shadow val="0"/>
        <color theme="1"/>
        <sz val="10"/>
        <vertAlign val="baseline"/>
      </font>
      <numFmt numFmtId="0" formatCode="General"/>
      <alignment horizontal="right" vertical="top"/>
    </dxf>
    <dxf>
      <alignment horizontal="right" vertical="top"/>
    </dxf>
    <dxf>
      <font>
        <name val="Dubai"/>
        <family val="2"/>
        <strike val="0"/>
        <outline val="0"/>
        <shadow val="0"/>
        <color theme="1"/>
        <sz val="10"/>
        <vertAlign val="baseline"/>
      </font>
      <numFmt numFmtId="0" formatCode="General"/>
      <alignment horizontal="right" vertical="top"/>
    </dxf>
    <dxf>
      <font>
        <name val="Dubai"/>
        <family val="2"/>
        <strike val="0"/>
        <outline val="0"/>
        <shadow val="0"/>
        <color theme="1"/>
        <sz val="10"/>
        <vertAlign val="baseline"/>
      </font>
      <numFmt numFmtId="0" formatCode="General"/>
      <alignment horizontal="right" vertical="top"/>
    </dxf>
    <dxf>
      <font>
        <name val="Dubai"/>
        <family val="2"/>
        <strike val="0"/>
        <outline val="0"/>
        <shadow val="0"/>
        <color theme="1"/>
        <sz val="10"/>
        <vertAlign val="baseline"/>
      </font>
      <numFmt numFmtId="0" formatCode="General"/>
      <alignment horizontal="right" vertical="top"/>
    </dxf>
    <dxf>
      <font>
        <name val="Dubai"/>
        <family val="2"/>
        <strike val="0"/>
        <outline val="0"/>
        <shadow val="0"/>
        <color theme="1"/>
        <sz val="10"/>
        <vertAlign val="baseline"/>
      </font>
      <numFmt numFmtId="0" formatCode="General"/>
      <alignment horizontal="right" vertical="top"/>
    </dxf>
    <dxf>
      <font>
        <name val="Dubai"/>
        <family val="2"/>
        <strike val="0"/>
        <outline val="0"/>
        <shadow val="0"/>
        <color theme="1"/>
        <sz val="10"/>
        <vertAlign val="baseline"/>
      </font>
      <numFmt numFmtId="0" formatCode="General"/>
      <alignment horizontal="right" vertical="top"/>
    </dxf>
    <dxf>
      <numFmt numFmtId="0" formatCode="General"/>
      <alignment horizontal="right" vertical="top"/>
    </dxf>
    <dxf>
      <font>
        <name val="Dubai"/>
        <family val="2"/>
        <strike val="0"/>
        <outline val="0"/>
        <shadow val="0"/>
        <color theme="1"/>
        <sz val="10"/>
        <vertAlign val="baseline"/>
      </font>
      <alignment horizontal="right" vertical="top"/>
    </dxf>
    <dxf>
      <font>
        <name val="Dubai"/>
        <family val="2"/>
        <strike val="0"/>
        <outline val="0"/>
        <shadow val="0"/>
        <color theme="1"/>
        <sz val="10"/>
        <vertAlign val="baseline"/>
      </font>
      <alignment horizontal="right" vertical="top"/>
    </dxf>
    <dxf>
      <alignment horizontal="right" vertical="center" readingOrder="2"/>
    </dxf>
    <dxf>
      <alignment horizontal="right" vertical="center" readingOrder="2"/>
    </dxf>
    <dxf>
      <alignment horizontal="right" vertical="center" readingOrder="2"/>
    </dxf>
    <dxf>
      <alignment horizontal="right" vertical="center" readingOrder="2"/>
    </dxf>
    <dxf>
      <alignment horizontal="right" vertical="center" readingOrder="2"/>
    </dxf>
    <dxf>
      <alignment horizontal="right" vertical="center" readingOrder="2"/>
    </dxf>
    <dxf>
      <alignment horizontal="right" vertical="center" readingOrder="2"/>
    </dxf>
    <dxf>
      <alignment horizontal="right" vertical="center" readingOrder="2"/>
    </dxf>
    <dxf>
      <alignment horizontal="right" vertical="center" readingOrder="2"/>
    </dxf>
    <dxf>
      <alignment horizontal="right" vertical="center" readingOrder="2"/>
    </dxf>
    <dxf>
      <alignment horizontal="right" vertical="center" readingOrder="2"/>
    </dxf>
    <dxf>
      <alignment horizontal="right" vertical="center" readingOrder="2"/>
    </dxf>
    <dxf>
      <alignment horizontal="right" vertical="center" readingOrder="2"/>
    </dxf>
    <dxf>
      <alignment horizontal="right" vertical="center" readingOrder="2"/>
    </dxf>
    <dxf>
      <alignment horizontal="right" vertical="center" readingOrder="2"/>
    </dxf>
    <dxf>
      <alignment horizontal="right" vertical="center" readingOrder="2"/>
    </dxf>
    <dxf>
      <alignment horizontal="right" vertical="center" readingOrder="2"/>
    </dxf>
    <dxf>
      <alignment horizontal="right" vertical="center" readingOrder="2"/>
    </dxf>
    <dxf>
      <alignment horizontal="right" vertical="center" readingOrder="2"/>
    </dxf>
    <dxf>
      <alignment horizontal="right" vertical="center" readingOrder="2"/>
    </dxf>
    <dxf>
      <alignment horizontal="right" vertical="center" readingOrder="2"/>
    </dxf>
    <dxf>
      <alignment horizontal="right" vertical="center" readingOrder="2"/>
    </dxf>
    <dxf>
      <alignment horizontal="right" vertical="center" readingOrder="2"/>
    </dxf>
    <dxf>
      <alignment horizontal="right" vertical="center" readingOrder="2"/>
    </dxf>
    <dxf>
      <alignment horizontal="right" vertical="center" readingOrder="2"/>
    </dxf>
    <dxf>
      <alignment horizontal="right" vertical="center" readingOrder="2"/>
    </dxf>
    <dxf>
      <alignment horizontal="right" vertical="center" readingOrder="2"/>
    </dxf>
    <dxf>
      <alignment horizontal="right" vertical="center" readingOrder="2"/>
    </dxf>
    <dxf>
      <alignment horizontal="right" vertical="center" readingOrder="2"/>
    </dxf>
    <dxf>
      <alignment horizontal="right" vertical="center" readingOrder="2"/>
    </dxf>
    <dxf>
      <alignment horizontal="right" vertical="center" readingOrder="2"/>
    </dxf>
    <dxf>
      <alignment horizontal="right" vertical="center" readingOrder="2"/>
    </dxf>
    <dxf>
      <alignment horizontal="right" vertical="center" readingOrder="2"/>
    </dxf>
    <dxf>
      <alignment horizontal="right" vertical="center" readingOrder="2"/>
    </dxf>
    <dxf>
      <alignment horizontal="right" vertical="center" readingOrder="2"/>
    </dxf>
    <dxf>
      <alignment horizontal="right" vertical="center" readingOrder="2"/>
    </dxf>
    <dxf>
      <alignment horizontal="right" vertical="center" readingOrder="2"/>
    </dxf>
    <dxf>
      <numFmt numFmtId="13" formatCode="0%"/>
      <alignment horizontal="right" vertical="center" readingOrder="2"/>
    </dxf>
    <dxf>
      <alignment horizontal="right" vertical="center" readingOrder="2"/>
    </dxf>
    <dxf>
      <alignment horizontal="right" vertical="center" readingOrder="2"/>
    </dxf>
    <dxf>
      <alignment horizontal="right" vertical="center" readingOrder="2"/>
    </dxf>
    <dxf>
      <alignment horizontal="right" vertical="center" readingOrder="2"/>
    </dxf>
    <dxf>
      <alignment horizontal="right" vertical="center" readingOrder="2"/>
    </dxf>
    <dxf>
      <alignment horizontal="right" vertical="center" readingOrder="2"/>
    </dxf>
    <dxf>
      <alignment horizontal="right" vertical="center" readingOrder="2"/>
    </dxf>
    <dxf>
      <alignment horizontal="right" vertical="center" readingOrder="2"/>
    </dxf>
    <dxf>
      <alignment horizontal="right" vertical="center" readingOrder="2"/>
    </dxf>
    <dxf>
      <alignment horizontal="right" vertical="center" readingOrder="2"/>
    </dxf>
    <dxf>
      <alignment horizontal="right" vertical="center" readingOrder="2"/>
    </dxf>
    <dxf>
      <alignment horizontal="right" vertical="center" readingOrder="2"/>
    </dxf>
    <dxf>
      <alignment horizontal="right" vertical="center" readingOrder="2"/>
    </dxf>
    <dxf>
      <alignment horizontal="right" vertical="center" readingOrder="2"/>
    </dxf>
    <dxf>
      <alignment horizontal="right" vertical="center" readingOrder="2"/>
    </dxf>
    <dxf>
      <alignment horizontal="right" vertical="center" readingOrder="2"/>
    </dxf>
    <dxf>
      <alignment horizontal="right" vertical="center" readingOrder="2"/>
    </dxf>
    <dxf>
      <alignment horizontal="right" vertical="center" readingOrder="2"/>
    </dxf>
    <dxf>
      <alignment horizontal="right" vertical="center" readingOrder="2"/>
    </dxf>
    <dxf>
      <alignment horizontal="right" vertical="center" readingOrder="2"/>
    </dxf>
    <dxf>
      <alignment horizontal="right" vertical="center" readingOrder="2"/>
    </dxf>
    <dxf>
      <alignment horizontal="right" vertical="center" readingOrder="2"/>
    </dxf>
    <dxf>
      <alignment horizontal="right" vertical="center" readingOrder="2"/>
    </dxf>
    <dxf>
      <alignment horizontal="right" vertical="center" readingOrder="2"/>
    </dxf>
    <dxf>
      <alignment horizontal="right" vertical="center" readingOrder="2"/>
    </dxf>
    <dxf>
      <alignment horizontal="right" vertical="center" readingOrder="2"/>
    </dxf>
    <dxf>
      <alignment horizontal="right" vertical="center" readingOrder="2"/>
    </dxf>
    <dxf>
      <alignment horizontal="right" vertical="center" readingOrder="2"/>
    </dxf>
    <dxf>
      <alignment horizontal="right" vertical="center" readingOrder="2"/>
    </dxf>
    <dxf>
      <alignment horizontal="right" vertical="center" readingOrder="2"/>
    </dxf>
    <dxf>
      <alignment horizontal="right" vertical="center" readingOrder="2"/>
    </dxf>
    <dxf>
      <alignment horizontal="right" vertical="center" readingOrder="2"/>
    </dxf>
    <dxf>
      <alignment horizontal="right" vertical="center" readingOrder="2"/>
    </dxf>
    <dxf>
      <alignment horizontal="right" vertical="center" readingOrder="2"/>
    </dxf>
    <dxf>
      <font>
        <b val="1"/>
        <color theme="1"/>
      </font>
      <fill>
        <patternFill>
          <bgColor theme="0" tint="-0.0499893185216834"/>
        </patternFill>
      </fill>
    </dxf>
  </dxfs>
  <tableStyles count="1" defaultTableStyle="TableStyleMedium2" defaultPivotStyle="PivotStyleLight16">
    <tableStyle name="Table Style 1" pivot="0" count="1">
      <tableStyleElement type="headerRow" dxfId="24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5</row>
      <rowOff>38100</rowOff>
    </from>
    <to>
      <col>27</col>
      <colOff>434045</colOff>
      <row>27</row>
      <rowOff>209550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970793155" y="1143000"/>
          <a:ext cx="16283645" cy="60388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Entities" displayName="Entities" ref="A1:B53" headerRowCount="1" totalsRowShown="0" headerRowDxfId="239" dataDxfId="238">
  <autoFilter ref="A1:B53"/>
  <tableColumns count="2">
    <tableColumn id="2" name="القطاع" dataDxfId="237"/>
    <tableColumn id="1" name="الجهة المعنية" dataDxfId="23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ectors" displayName="Sectors" ref="D1:D7" headerRowCount="1" totalsRowShown="0" headerRowDxfId="235" dataDxfId="234">
  <autoFilter ref="D1:D7"/>
  <tableColumns count="1">
    <tableColumn id="1" name="القطاع" dataDxfId="23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epartments" displayName="Departments" ref="F1:G24" headerRowCount="1" totalsRowShown="0" headerRowDxfId="232" dataDxfId="231">
  <autoFilter ref="F1:G24"/>
  <tableColumns count="2">
    <tableColumn id="1" name="القطاع" dataDxfId="230"/>
    <tableColumn id="2" name="الوحدة التنظيمية" dataDxfId="22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Quarters" displayName="Quarters" ref="K1:K5" headerRowCount="1" totalsRowShown="0" headerRowDxfId="228" dataDxfId="227">
  <autoFilter ref="K1:K5"/>
  <tableColumns count="1">
    <tableColumn id="1" name="الربع" dataDxfId="22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Months" displayName="Months" ref="M1:M13" headerRowCount="1" totalsRowShown="0" headerRowDxfId="225" dataDxfId="224">
  <autoFilter ref="M1:M13"/>
  <tableColumns count="1">
    <tableColumn id="1" name="الشهر" dataDxfId="22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Years" displayName="Years" ref="O1:O27" headerRowCount="1" totalsRowShown="0" headerRowDxfId="222" dataDxfId="221">
  <autoFilter ref="O1:O27"/>
  <tableColumns count="1">
    <tableColumn id="1" name="الأعوام" dataDxfId="22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opicTypes" displayName="TopicTypes" ref="Q1:Q3" headerRowCount="1" totalsRowShown="0" headerRowDxfId="219" dataDxfId="218">
  <autoFilter ref="Q1:Q3"/>
  <tableColumns count="1">
    <tableColumn id="1" name="تصنيف الموضوع" dataDxfId="21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Issuers" displayName="Issuers" ref="S1:S4" headerRowCount="1" totalsRowShown="0" headerRowDxfId="216" dataDxfId="215">
  <autoFilter ref="S1:S4"/>
  <tableColumns count="1">
    <tableColumn id="1" name="الجهة المسؤولة / صادر عن" dataDxfId="21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AgendaStatus" displayName="AgendaStatus" ref="U1:U6" headerRowCount="1" totalsRowShown="0" headerRowDxfId="213" dataDxfId="212">
  <autoFilter ref="U1:U6"/>
  <tableColumns count="1">
    <tableColumn id="1" name="مستوى الإنجاز" dataDxfId="21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WorkStatus" displayName="WorkStatus" ref="W1:W5" headerRowCount="1" totalsRowShown="0" headerRowDxfId="210" dataDxfId="209">
  <autoFilter ref="W1:W5"/>
  <tableColumns count="1">
    <tableColumn id="1" name="مستوى الإنجاز" dataDxfId="208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CompletionPercent" displayName="CompletionPercent" ref="Y1:Y22" headerRowCount="1" totalsRowShown="0" headerRowDxfId="207" dataDxfId="206">
  <autoFilter ref="Y1:Y22"/>
  <tableColumns count="1">
    <tableColumn id="1" name="نسب الإنجاز" dataDxfId="205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PlanStatus" displayName="PlanStatus" ref="AA1:AA5" headerRowCount="1" totalsRowShown="0" headerRowDxfId="204" dataDxfId="203">
  <autoFilter ref="AA1:AA5"/>
  <tableColumns count="1">
    <tableColumn id="1" name="ضمن خطة دبي أو أجنداتها" dataDxfId="20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YesNo" displayName="YesNo" ref="AC1:AC3" headerRowCount="1" totalsRowShown="0" headerRowDxfId="201" dataDxfId="200">
  <autoFilter ref="AC1:AC3"/>
  <tableColumns count="1">
    <tableColumn id="1" name="القيمة" dataDxfId="199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FollowUp" displayName="FollowUp" ref="AE1:AE5" headerRowCount="1" totalsRowShown="0" headerRowDxfId="198" dataDxfId="197">
  <autoFilter ref="AE1:AE5"/>
  <tableColumns count="1">
    <tableColumn id="1" name="متطلبات المتابعة" dataDxfId="196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Frequency" displayName="Frequency" ref="I1:I4" headerRowCount="1" totalsRowShown="0" headerRowDxfId="195" dataDxfId="194">
  <autoFilter ref="I1:I4"/>
  <tableColumns count="1">
    <tableColumn id="1" name="دورية القياس" dataDxfId="193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OperationalObjectives" displayName="OperationalObjectives" ref="AI1:AJ12" headerRowCount="1" totalsRowShown="0" headerRowDxfId="192" dataDxfId="191">
  <autoFilter ref="AI1:AJ12"/>
  <tableColumns count="2">
    <tableColumn id="1" name="الهدف الاستراتيجي" dataDxfId="190"/>
    <tableColumn id="2" name="الهدف التشغيلي" dataDxfId="189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StrategicObjectives" displayName="StrategicObjectives" ref="AG1:AG5" headerRowCount="1" totalsRowShown="0" headerRowDxfId="188" dataDxfId="187">
  <autoFilter ref="AG1:AG5"/>
  <tableColumns count="1">
    <tableColumn id="1" name="الهدف الاستراتيجي" dataDxfId="186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able24" displayName="Table24" ref="AL1:AL7" headerRowCount="1" totalsRowShown="0" headerRowDxfId="185" dataDxfId="184">
  <autoFilter ref="AL1:AL7"/>
  <tableColumns count="1">
    <tableColumn id="1" name="مستوى الإنجاز" dataDxfId="183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ProjectType" displayName="ProjectType" ref="AN1:AN3" headerRowCount="1" totalsRowShown="0" headerRowDxfId="182" dataDxfId="181">
  <autoFilter ref="AN1:AN3"/>
  <tableColumns count="1">
    <tableColumn id="1" name="نوع" dataDxfId="180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ProjectPriority" displayName="ProjectPriority" ref="AP1:AP4" headerRowCount="1" totalsRowShown="0" headerRowDxfId="179" dataDxfId="178">
  <autoFilter ref="AP1:AP4"/>
  <tableColumns count="1">
    <tableColumn id="1" name="أولوية" dataDxfId="177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Table129" displayName="Table129" ref="AR1:AR3" headerRowCount="1" totalsRowShown="0" headerRowDxfId="176" dataDxfId="175">
  <autoFilter ref="AR1:AR3"/>
  <tableColumns count="1">
    <tableColumn id="1" name="الإصدار " dataDxfId="174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Table2" displayName="Table2" ref="AT1:AT5" headerRowCount="1" totalsRowShown="0" headerRowDxfId="173" dataDxfId="172">
  <autoFilter ref="AT1:AT5"/>
  <tableColumns count="1">
    <tableColumn id="1" name="الحالة " dataDxfId="171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Table3" displayName="Table3" ref="AV1:AV3" headerRowCount="1" totalsRowShown="0" headerRowDxfId="170" dataDxfId="169">
  <autoFilter ref="AV1:AV3"/>
  <tableColumns count="1">
    <tableColumn id="1" name="مؤشرات الأداء" dataDxfId="168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Special" displayName="Special" ref="A1:U63" headerRowCount="1" totalsRowShown="0" headerRowDxfId="167" dataDxfId="166">
  <autoFilter ref="A1:U63"/>
  <tableColumns count="21">
    <tableColumn id="21" name="Source.Name" dataDxfId="165"/>
    <tableColumn id="1" name="مشاريع سموه" dataDxfId="164"/>
    <tableColumn id="2" name="مدير المشروع" dataDxfId="163"/>
    <tableColumn id="3" name="اسم المشروع" dataDxfId="162"/>
    <tableColumn id="4" name="نبذة حول المشروع" dataDxfId="161"/>
    <tableColumn id="5" name="الجهة المعنية" dataDxfId="160"/>
    <tableColumn id="20" name="الجهات المساهمة" dataDxfId="159"/>
    <tableColumn id="6" name="القطاع" dataDxfId="158"/>
    <tableColumn id="7" name="الإدارة " dataDxfId="157"/>
    <tableColumn id="8" name="إدارات مساهمة" dataDxfId="156"/>
    <tableColumn id="9" name="بدء المشروع (الشهر)" dataDxfId="155"/>
    <tableColumn id="10" name="بدء المشروع (السنة)" dataDxfId="154"/>
    <tableColumn id="11" name="انتهاء المشروع (الشهر)" dataDxfId="153"/>
    <tableColumn id="12" name="انتهاء المشروع (السنة)" dataDxfId="152"/>
    <tableColumn id="13" name="مستوى الإنجاز" dataDxfId="151"/>
    <tableColumn id="14" name="نسبة الإنجاز" dataDxfId="150"/>
    <tableColumn id="15" name="الميزانية المخصصة إن وجدت" dataDxfId="149"/>
    <tableColumn id="16" name="المنجز للآن" dataDxfId="148"/>
    <tableColumn id="17" name="المخطط في المرحلة المقبلة" dataDxfId="147"/>
    <tableColumn id="18" name="ملاحظات مدير المشروع" dataDxfId="146"/>
    <tableColumn id="19" name="توصيات إدارة الأداء والتنفيذ" dataDxfId="145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id="25" name="Projects" displayName="Projects" ref="A1:W85" headerRowCount="1" totalsRowShown="0" headerRowDxfId="144" dataDxfId="143">
  <autoFilter ref="A1:W85"/>
  <tableColumns count="23">
    <tableColumn id="1" name="#" dataDxfId="142"/>
    <tableColumn id="2" name="القطاع" dataDxfId="141"/>
    <tableColumn id="3" name="الإدارة " dataDxfId="140"/>
    <tableColumn id="4" name="اسم المشروع" dataDxfId="139"/>
    <tableColumn id="5" name="نبذة حول المشروع" dataDxfId="138"/>
    <tableColumn id="6" name="أولوية" dataDxfId="137"/>
    <tableColumn id="7" name="نوع" dataDxfId="136"/>
    <tableColumn id="8" name="مدير المشروع" dataDxfId="135"/>
    <tableColumn id="9" name="بدء المشروع" dataDxfId="134"/>
    <tableColumn id="10" name="انتهاء المشروع" dataDxfId="133"/>
    <tableColumn id="11" name="الموازنة المعتمدة" dataDxfId="132" dataCellStyle="Comma"/>
    <tableColumn id="12" name="الموازنة المعتمدة الجديدة" dataDxfId="131" dataCellStyle="Comma"/>
    <tableColumn id="13" name="المخصص" dataDxfId="130" dataCellStyle="Comma"/>
    <tableColumn id="14" name="غير المخصص" dataDxfId="129" dataCellStyle="Comma"/>
    <tableColumn id="25" name="المنفق الفعلي حسب العمل" dataDxfId="128" dataCellStyle="Comma"/>
    <tableColumn id="15" name="المنفق الفعلي" dataDxfId="127" dataCellStyle="Comma"/>
    <tableColumn id="17" name="مستوى الإنجاز" dataDxfId="126" dataCellStyle="Percent"/>
    <tableColumn id="18" name="نسبة الإنجاز" dataDxfId="125" dataCellStyle="Percent"/>
    <tableColumn id="19" name="ملاحظات مدير المشروع" dataDxfId="124"/>
    <tableColumn id="20" name="ملاحظات المالية" dataDxfId="123"/>
    <tableColumn id="16" name="الربع" dataDxfId="122">
      <calculatedColumnFormula>IF(ISNUMBER(J2),IF(YEAR(J2)=YEAR(ValidationDate),"Q"&amp;ROUNDUP(MONTH(J2)/3,0),YEAR(J2)&amp;" Q"&amp;ROUNDUP(MONTH(J2)/3,0)),IFERROR("Q"&amp;ROUNDUP(MATCH(UPPER(TRIM(J2)),{"JAN","FEB","MAR","APR","MAY","JUN","JUL","AUG","SEP","OCT","NOV","DEC"},0)/3,0),""))</calculatedColumnFormula>
    </tableColumn>
    <tableColumn id="24" name="Late KPI" dataDxfId="121">
      <calculatedColumnFormula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calculatedColumnFormula>
    </tableColumn>
    <tableColumn id="21" name="Original Comments" dataDxfId="120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id="26" name="ECSAC" displayName="ECSAC" ref="A1:Q118" headerRowCount="1" totalsRowShown="0" headerRowDxfId="119" dataDxfId="118">
  <autoFilter ref="A1:Q118"/>
  <tableColumns count="17">
    <tableColumn id="17" name="Source.Name" dataDxfId="117"/>
    <tableColumn id="1" name="تصنيف الموضوع" dataDxfId="116"/>
    <tableColumn id="2" name="منسق الأمانة العامة" dataDxfId="115"/>
    <tableColumn id="3" name="الموضوع " dataDxfId="114"/>
    <tableColumn id="4" name="الجهة المعنية" dataDxfId="113"/>
    <tableColumn id="16" name="الجهات المساهمة" dataDxfId="112"/>
    <tableColumn id="5" name="القطاع" dataDxfId="111"/>
    <tableColumn id="6" name="الإدارة" dataDxfId="110"/>
    <tableColumn id="7" name="مستوى الإنجاز" dataDxfId="109"/>
    <tableColumn id="8" name="ربع الإنجاز" dataDxfId="108"/>
    <tableColumn id="9" name="شهر الإنجاز" dataDxfId="107"/>
    <tableColumn id="10" name="سنة الإنجاز" dataDxfId="106"/>
    <tableColumn id="11" name="الموعد الجديد إن وجد (شهر)" dataDxfId="105"/>
    <tableColumn id="12" name="ملاحظات فريق الأمانة العامة" dataDxfId="104"/>
    <tableColumn id="13" name="تاريخ العرض على مجلس الشؤون" dataDxfId="103"/>
    <tableColumn id="14" name="تاريخ العرض على المجلس التنفيذي" dataDxfId="102"/>
    <tableColumn id="15" name="ملاحظات مقرر المجالس" dataDxfId="101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id="27" name="Resolutions" displayName="Resolutions" ref="A1:U165" headerRowCount="1" totalsRowShown="0" headerRowDxfId="100" dataDxfId="99">
  <autoFilter ref="A1:U165"/>
  <tableColumns count="21">
    <tableColumn id="21" name="Source.Name" dataDxfId="98"/>
    <tableColumn id="1" name="ضمن خطة دبي أو أجنداتها" dataDxfId="97"/>
    <tableColumn id="2" name="منسق الأمانة العامة" dataDxfId="96"/>
    <tableColumn id="3" name="الموضوع" dataDxfId="95"/>
    <tableColumn id="4" name="رقم القرار" dataDxfId="94"/>
    <tableColumn id="5" name="القرار الأخير" dataDxfId="93"/>
    <tableColumn id="6" name="صادر عن" dataDxfId="92"/>
    <tableColumn id="7" name="سنة الاجتماع" dataDxfId="91"/>
    <tableColumn id="8" name="تاريخ الاجتماع" dataDxfId="90"/>
    <tableColumn id="9" name="مرجع الخطاب الصادر بالقرار" dataDxfId="89"/>
    <tableColumn id="10" name="الجهة المعنية" dataDxfId="88"/>
    <tableColumn id="20" name="الجهات المساهمة" dataDxfId="87"/>
    <tableColumn id="11" name="القطاع" dataDxfId="86"/>
    <tableColumn id="12" name="الإدارة" dataDxfId="85"/>
    <tableColumn id="13" name="متطلبات المتابعة" dataDxfId="84"/>
    <tableColumn id="14" name="تاريخ إصدار خطاب المتابعة" dataDxfId="83"/>
    <tableColumn id="15" name="تاريخ الرد" dataDxfId="82"/>
    <tableColumn id="16" name="مستوى الإنجاز" dataDxfId="81"/>
    <tableColumn id="17" name="نسبه الإنجاز" dataDxfId="80"/>
    <tableColumn id="18" name="يتوفر تقرير بالمستجدات؟" dataDxfId="79"/>
    <tableColumn id="19" name="ملاحظات" dataDxfId="78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id="28" name="Legislations" displayName="Legislations" ref="A1:W192" headerRowCount="1" totalsRowShown="0" headerRowDxfId="77" dataDxfId="76">
  <autoFilter ref="A1:W192"/>
  <tableColumns count="23">
    <tableColumn id="1" name="#" dataDxfId="75"/>
    <tableColumn id="2" name="الرقم MCMS" dataDxfId="74"/>
    <tableColumn id="3" name="عنوان التشريع " dataDxfId="73"/>
    <tableColumn id="4" name="القطاع" dataDxfId="72"/>
    <tableColumn id="5" name="الإدارة" dataDxfId="71"/>
    <tableColumn id="7" name="تاريخ استلام التشريع" dataDxfId="70"/>
    <tableColumn id="14" name="تاريخ التحويل للفريق" dataDxfId="69"/>
    <tableColumn id="8" name="تاريخ الإنجاز وفق (SLC) " dataDxfId="68"/>
    <tableColumn id="15" name="تمديد حتى" dataDxfId="67"/>
    <tableColumn id="17" name="التاريخ المحدد من إدارة التشريعات" dataDxfId="66"/>
    <tableColumn id="9" name="تاريخ الانجاز الفعلي" dataDxfId="65"/>
    <tableColumn id="12" name="تاريخ الإرسال" dataDxfId="64"/>
    <tableColumn id="11" name="مؤشرات الأداء" dataDxfId="63"/>
    <tableColumn id="16" name="مستجدات " dataDxfId="62"/>
    <tableColumn id="13" name="الحالة " dataDxfId="61"/>
    <tableColumn id="18" name="الإصدار " dataDxfId="60"/>
    <tableColumn id="6" name="الجهة المرسلة " dataDxfId="59"/>
    <tableColumn id="21" name="مرحلة التشريع " dataDxfId="58"/>
    <tableColumn id="22" name="طبيعة التشريع" dataDxfId="57"/>
    <tableColumn id="20" name="السنة" dataDxfId="56"/>
    <tableColumn id="19" name="Late KPI" dataDxfId="55">
      <calculatedColumnFormula>IF(
   K2&lt;&gt;"",
   "",
   IF(
      IF(I2&lt;&gt;"",I2,H2)="",
      "",
      IF(
         ValidationDate&gt;IF(I2&lt;&gt;"",I2,H2),
         "متأخر",
         ""
      )
   )
)</calculatedColumnFormula>
    </tableColumn>
    <tableColumn id="10" name="تجاوز الموعد" dataDxfId="54">
      <calculatedColumnFormula>IF(
OR(
M2&lt;&gt;"في الموعد",
NOT(ISNUMBER(K2)),
NOT(ISNUMBER(H2))
),
"",
IF(
INT(K2)&gt;INT(H2),
"متأخر",
""
)
)</calculatedColumnFormula>
    </tableColumn>
    <tableColumn id="23" name="شهر التشريع" dataDxfId="53">
      <calculatedColumnFormula>IF(COUNT(F2:K2)=0,"",TEXT(IF(K2&lt;&gt;"",K2,IF(I2&lt;&gt;"",I2,IF(J2&lt;&gt;"",J2,IF(H2&lt;&gt;"",H2,IF(G2&lt;&gt;"",G2,F2))))),"[$-en-US]mmm"))</calculatedColumnFormula>
    </tableColumn>
  </tableColumns>
  <tableStyleInfo name="TableStyleLight9" showFirstColumn="0" showLastColumn="0" showRowStripes="1" showColumnStripes="0"/>
</table>
</file>

<file path=xl/tables/table29.xml><?xml version="1.0" encoding="utf-8"?>
<table xmlns="http://schemas.openxmlformats.org/spreadsheetml/2006/main" id="29" name="Strategy" displayName="Strategy" ref="A1:AC55" headerRowCount="1" totalsRowShown="0" headerRowDxfId="52" dataDxfId="51">
  <autoFilter ref="A1:AC55"/>
  <tableColumns count="29">
    <tableColumn id="29" name="Source.Name" dataDxfId="50" dataCellStyle="Percent"/>
    <tableColumn id="3" name="القطاع" dataDxfId="49"/>
    <tableColumn id="4" name="الإدارة" dataDxfId="48"/>
    <tableColumn id="9" name="المؤشر" dataDxfId="47"/>
    <tableColumn id="12" name="دورية القياس" dataDxfId="46"/>
    <tableColumn id="1" name="البسط" dataDxfId="45" dataCellStyle="Percent"/>
    <tableColumn id="2" name="المقام" dataDxfId="44" dataCellStyle="Percent"/>
    <tableColumn id="14" name="البسط Q1" dataDxfId="43"/>
    <tableColumn id="15" name="المقام Q1" dataDxfId="42"/>
    <tableColumn id="16" name="نتيجة Q1" dataDxfId="41" dataCellStyle="Percent"/>
    <tableColumn id="17" name="البسط Q2" dataDxfId="40" dataCellStyle="Percent"/>
    <tableColumn id="18" name="المقام Q2" dataDxfId="39"/>
    <tableColumn id="19" name="نتيجة Q2" dataDxfId="38" dataCellStyle="Percent"/>
    <tableColumn id="20" name="البسط Q3" dataDxfId="37" dataCellStyle="Percent"/>
    <tableColumn id="21" name="المقام Q3" dataDxfId="36"/>
    <tableColumn id="22" name="نتيجة Q3" dataDxfId="35" dataCellStyle="Percent"/>
    <tableColumn id="23" name="البسط Q4" dataDxfId="34" dataCellStyle="Percent"/>
    <tableColumn id="24" name="المقام Q4" dataDxfId="33"/>
    <tableColumn id="25" name="نتيجة Q4" dataDxfId="32" dataCellStyle="Percent"/>
    <tableColumn id="26" name="نتيجة العام " dataDxfId="31" dataCellStyle="Percent"/>
    <tableColumn id="27" name="المستهدف للعام" dataDxfId="30" dataCellStyle="Percent"/>
    <tableColumn id="28" name="ملاحظات" dataDxfId="29"/>
    <tableColumn id="5" name="الهدف الاستراتيجي" dataDxfId="28" dataCellStyle="Percent"/>
    <tableColumn id="6" name="الأهداف التشغيلية" dataDxfId="27"/>
    <tableColumn id="7" name="ملاك الهدف" dataDxfId="26"/>
    <tableColumn id="8" name="الوزن النسبي للهدف" dataDxfId="25" dataCellStyle="Percent"/>
    <tableColumn id="10" name="نسبة مساهمة الادارات" dataDxfId="24" dataCellStyle="Percent"/>
    <tableColumn id="11" name="وزن المؤشر" dataDxfId="23" dataCellStyle="Percent"/>
    <tableColumn id="13" name="المعادلة" dataDxfId="2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Relationship Type="http://schemas.openxmlformats.org/officeDocument/2006/relationships/table" Target="/xl/tables/table9.xml" Id="rId9"/><Relationship Type="http://schemas.openxmlformats.org/officeDocument/2006/relationships/table" Target="/xl/tables/table10.xml" Id="rId10"/><Relationship Type="http://schemas.openxmlformats.org/officeDocument/2006/relationships/table" Target="/xl/tables/table11.xml" Id="rId11"/><Relationship Type="http://schemas.openxmlformats.org/officeDocument/2006/relationships/table" Target="/xl/tables/table12.xml" Id="rId12"/><Relationship Type="http://schemas.openxmlformats.org/officeDocument/2006/relationships/table" Target="/xl/tables/table13.xml" Id="rId13"/><Relationship Type="http://schemas.openxmlformats.org/officeDocument/2006/relationships/table" Target="/xl/tables/table14.xml" Id="rId14"/><Relationship Type="http://schemas.openxmlformats.org/officeDocument/2006/relationships/table" Target="/xl/tables/table15.xml" Id="rId15"/><Relationship Type="http://schemas.openxmlformats.org/officeDocument/2006/relationships/table" Target="/xl/tables/table16.xml" Id="rId16"/><Relationship Type="http://schemas.openxmlformats.org/officeDocument/2006/relationships/table" Target="/xl/tables/table17.xml" Id="rId17"/><Relationship Type="http://schemas.openxmlformats.org/officeDocument/2006/relationships/table" Target="/xl/tables/table18.xml" Id="rId18"/><Relationship Type="http://schemas.openxmlformats.org/officeDocument/2006/relationships/table" Target="/xl/tables/table19.xml" Id="rId19"/><Relationship Type="http://schemas.openxmlformats.org/officeDocument/2006/relationships/table" Target="/xl/tables/table20.xml" Id="rId20"/><Relationship Type="http://schemas.openxmlformats.org/officeDocument/2006/relationships/table" Target="/xl/tables/table21.xml" Id="rId21"/><Relationship Type="http://schemas.openxmlformats.org/officeDocument/2006/relationships/table" Target="/xl/tables/table22.xml" Id="rId22"/><Relationship Type="http://schemas.openxmlformats.org/officeDocument/2006/relationships/table" Target="/xl/tables/table23.xml" Id="rId23"/></Relationships>
</file>

<file path=xl/worksheets/_rels/sheet6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29.xml" Id="rId1"/></Relationships>
</file>

<file path=xl/worksheets/sheet1.xml><?xml version="1.0" encoding="utf-8"?>
<worksheet xmlns="http://schemas.openxmlformats.org/spreadsheetml/2006/main">
  <sheetPr>
    <tabColor rgb="FFFFC000"/>
    <outlinePr summaryBelow="1" summaryRight="1"/>
    <pageSetUpPr/>
  </sheetPr>
  <dimension ref="B2:Q5"/>
  <sheetViews>
    <sheetView showGridLines="0" rightToLeft="1" zoomScaleNormal="100" workbookViewId="0">
      <selection activeCell="D28" sqref="D28"/>
    </sheetView>
  </sheetViews>
  <sheetFormatPr baseColWidth="8" defaultColWidth="9.140625" defaultRowHeight="21"/>
  <cols>
    <col width="9.140625" customWidth="1" style="80" min="1" max="16384"/>
  </cols>
  <sheetData>
    <row r="2" ht="15" customHeight="1">
      <c r="B2" s="227" t="inlineStr">
        <is>
          <t>تصميم مصفوفة شمولية (بانورامية) لتطوير جوانب العمل الحالية المتجزئة، وتصميم الروابط عبر مختلف مجالات العمل بما يخدم منظومة الأداء.</t>
        </is>
      </c>
    </row>
    <row r="3" ht="15" customHeight="1"/>
    <row r="4" ht="15" customHeight="1"/>
    <row r="5"/>
  </sheetData>
  <mergeCells count="1">
    <mergeCell ref="B2:Q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AV53"/>
  <sheetViews>
    <sheetView rightToLeft="1" topLeftCell="AA1" zoomScaleNormal="100" zoomScaleSheetLayoutView="40" workbookViewId="0">
      <selection activeCell="AV2" sqref="AV2:AV3"/>
    </sheetView>
  </sheetViews>
  <sheetFormatPr baseColWidth="8" defaultColWidth="2.7109375" defaultRowHeight="15"/>
  <cols>
    <col width="8" bestFit="1" customWidth="1" style="38" min="1" max="1"/>
    <col width="47.140625" bestFit="1" customWidth="1" style="38" min="2" max="2"/>
    <col width="2.7109375" customWidth="1" style="38" min="3" max="3"/>
    <col width="28.28515625" bestFit="1" customWidth="1" style="38" min="4" max="4"/>
    <col width="2.7109375" customWidth="1" style="38" min="5" max="5"/>
    <col width="28.28515625" bestFit="1" customWidth="1" style="38" min="6" max="6"/>
    <col width="33.42578125" bestFit="1" customWidth="1" style="38" min="7" max="7"/>
    <col width="2.7109375" customWidth="1" style="38" min="8" max="8"/>
    <col width="12.7109375" bestFit="1" customWidth="1" style="38" min="9" max="9"/>
    <col width="2.7109375" customWidth="1" style="38" min="10" max="10"/>
    <col width="8.85546875" bestFit="1" customWidth="1" style="38" min="11" max="11"/>
    <col width="2.7109375" customWidth="1" style="38" min="12" max="12"/>
    <col width="7.5703125" bestFit="1" customWidth="1" style="38" min="13" max="13"/>
    <col width="2.7109375" customWidth="1" style="38" min="14" max="14"/>
    <col width="8.28515625" bestFit="1" customWidth="1" style="38" min="15" max="15"/>
    <col width="2.7109375" customWidth="1" style="38" min="16" max="16"/>
    <col width="15.85546875" bestFit="1" customWidth="1" style="38" min="17" max="17"/>
    <col width="2.7109375" customWidth="1" style="38" min="18" max="18"/>
    <col width="23.42578125" bestFit="1" customWidth="1" style="38" min="19" max="19"/>
    <col width="2.7109375" customWidth="1" style="38" min="20" max="20"/>
    <col width="13.7109375" bestFit="1" customWidth="1" style="38" min="21" max="21"/>
    <col width="2.7109375" customWidth="1" style="38" min="22" max="22"/>
    <col width="13.7109375" bestFit="1" customWidth="1" style="38" min="23" max="23"/>
    <col width="2.7109375" customWidth="1" style="38" min="24" max="24"/>
    <col width="11.85546875" bestFit="1" customWidth="1" style="38" min="25" max="25"/>
    <col width="2.7109375" customWidth="1" style="38" min="26" max="26"/>
    <col width="22.5703125" bestFit="1" customWidth="1" style="38" min="27" max="27"/>
    <col width="2.7109375" customWidth="1" style="38" min="28" max="28"/>
    <col width="7.42578125" bestFit="1" customWidth="1" style="38" min="29" max="29"/>
    <col width="2.7109375" customWidth="1" style="38" min="30" max="30"/>
    <col width="18.140625" bestFit="1" customWidth="1" style="38" min="31" max="31"/>
    <col width="2.7109375" customWidth="1" style="38" min="32" max="32"/>
    <col width="38" bestFit="1" customWidth="1" style="38" min="33" max="33"/>
    <col width="2.7109375" customWidth="1" style="38" min="34" max="34"/>
    <col width="38" bestFit="1" customWidth="1" style="38" min="35" max="35"/>
    <col width="57.28515625" bestFit="1" customWidth="1" style="38" min="36" max="36"/>
    <col width="2.7109375" customWidth="1" style="38" min="37" max="37"/>
    <col width="13.7109375" bestFit="1" customWidth="1" style="38" min="38" max="38"/>
    <col width="2.7109375" customWidth="1" style="38" min="39" max="39"/>
    <col width="11.5703125" bestFit="1" customWidth="1" style="38" min="40" max="40"/>
    <col width="2.7109375" customWidth="1" style="38" min="41" max="41"/>
    <col width="7.85546875" bestFit="1" customWidth="1" style="38" min="42" max="42"/>
    <col width="2.7109375" customWidth="1" style="38" min="43" max="43"/>
    <col width="9.140625" bestFit="1" customWidth="1" style="38" min="44" max="44"/>
    <col width="2.7109375" customWidth="1" style="38" min="45" max="45"/>
    <col width="9.42578125" bestFit="1" customWidth="1" style="38" min="46" max="46"/>
    <col width="2.7109375" customWidth="1" style="38" min="47" max="47"/>
    <col width="13.7109375" bestFit="1" customWidth="1" style="38" min="48" max="48"/>
    <col width="2.7109375" customWidth="1" style="38" min="49" max="16384"/>
  </cols>
  <sheetData>
    <row r="1">
      <c r="A1" s="38" t="inlineStr">
        <is>
          <t>القطاع</t>
        </is>
      </c>
      <c r="B1" s="38" t="inlineStr">
        <is>
          <t>الجهة المعنية</t>
        </is>
      </c>
      <c r="D1" s="38" t="inlineStr">
        <is>
          <t>القطاع</t>
        </is>
      </c>
      <c r="F1" s="38" t="inlineStr">
        <is>
          <t>القطاع</t>
        </is>
      </c>
      <c r="G1" s="38" t="inlineStr">
        <is>
          <t>الوحدة التنظيمية</t>
        </is>
      </c>
      <c r="I1" s="38" t="inlineStr">
        <is>
          <t>دورية القياس</t>
        </is>
      </c>
      <c r="K1" s="38" t="inlineStr">
        <is>
          <t>الربع</t>
        </is>
      </c>
      <c r="M1" s="38" t="inlineStr">
        <is>
          <t>الشهر</t>
        </is>
      </c>
      <c r="O1" s="38" t="inlineStr">
        <is>
          <t>الأعوام</t>
        </is>
      </c>
      <c r="Q1" s="38" t="inlineStr">
        <is>
          <t>تصنيف الموضوع</t>
        </is>
      </c>
      <c r="S1" s="38" t="inlineStr">
        <is>
          <t>الجهة المسؤولة / صادر عن</t>
        </is>
      </c>
      <c r="U1" s="38" t="inlineStr">
        <is>
          <t>مستوى الإنجاز</t>
        </is>
      </c>
      <c r="W1" s="38" t="inlineStr">
        <is>
          <t>مستوى الإنجاز</t>
        </is>
      </c>
      <c r="Y1" s="38" t="inlineStr">
        <is>
          <t>نسب الإنجاز</t>
        </is>
      </c>
      <c r="AA1" s="38" t="inlineStr">
        <is>
          <t>ضمن خطة دبي أو أجنداتها</t>
        </is>
      </c>
      <c r="AC1" s="38" t="inlineStr">
        <is>
          <t>القيمة</t>
        </is>
      </c>
      <c r="AE1" s="38" t="inlineStr">
        <is>
          <t>متطلبات المتابعة</t>
        </is>
      </c>
      <c r="AG1" s="38" t="inlineStr">
        <is>
          <t>الهدف الاستراتيجي</t>
        </is>
      </c>
      <c r="AI1" s="38" t="inlineStr">
        <is>
          <t>الهدف الاستراتيجي</t>
        </is>
      </c>
      <c r="AJ1" s="38" t="inlineStr">
        <is>
          <t>الهدف التشغيلي</t>
        </is>
      </c>
      <c r="AL1" s="38" t="inlineStr">
        <is>
          <t>مستوى الإنجاز</t>
        </is>
      </c>
      <c r="AN1" s="38" t="inlineStr">
        <is>
          <t>نوع</t>
        </is>
      </c>
      <c r="AP1" s="38" t="inlineStr">
        <is>
          <t>أولوية</t>
        </is>
      </c>
      <c r="AR1" s="38" t="inlineStr">
        <is>
          <t xml:space="preserve">الإصدار </t>
        </is>
      </c>
      <c r="AT1" s="38" t="inlineStr">
        <is>
          <t xml:space="preserve">الحالة </t>
        </is>
      </c>
      <c r="AV1" s="38" t="inlineStr">
        <is>
          <t>مؤشرات الأداء</t>
        </is>
      </c>
    </row>
    <row r="2">
      <c r="A2" s="38" t="inlineStr">
        <is>
          <t>التنمية المستدامة</t>
        </is>
      </c>
      <c r="B2" s="38" t="inlineStr">
        <is>
          <t>الإدارة العامة للإقامة وشؤون الأجانب - دبي</t>
        </is>
      </c>
      <c r="D2" s="38" t="inlineStr">
        <is>
          <t>الأمانة العامة للمجلس التنفيذي</t>
        </is>
      </c>
      <c r="F2" s="38" t="inlineStr">
        <is>
          <t>الأمانة العامة للمجلس التنفيذي</t>
        </is>
      </c>
      <c r="G2" s="38" t="inlineStr">
        <is>
          <t>مكتب الأمين العام</t>
        </is>
      </c>
      <c r="I2" s="38" t="inlineStr">
        <is>
          <t>ربع سنوي</t>
        </is>
      </c>
      <c r="K2" s="38" t="inlineStr">
        <is>
          <t>الربع الأول</t>
        </is>
      </c>
      <c r="M2" s="38" t="inlineStr">
        <is>
          <t>يناير</t>
        </is>
      </c>
      <c r="O2" s="38" t="n">
        <v>2015</v>
      </c>
      <c r="Q2" s="38" t="inlineStr">
        <is>
          <t>الأجندة السنوية</t>
        </is>
      </c>
      <c r="S2" s="38" t="inlineStr">
        <is>
          <t>المجلس التنفيذي</t>
        </is>
      </c>
      <c r="U2" s="38" t="inlineStr">
        <is>
          <t>متأخر</t>
        </is>
      </c>
      <c r="W2" s="38" t="inlineStr">
        <is>
          <t>متأخر</t>
        </is>
      </c>
      <c r="Y2" s="39" t="n">
        <v>0</v>
      </c>
      <c r="AA2" s="38" t="inlineStr">
        <is>
          <t>ضمن الخطة</t>
        </is>
      </c>
      <c r="AC2" s="38" t="inlineStr">
        <is>
          <t>نعم</t>
        </is>
      </c>
      <c r="AE2" s="38" t="inlineStr">
        <is>
          <t>مغلق (لا يتطلب متابعة)</t>
        </is>
      </c>
      <c r="AG2" s="38" t="inlineStr">
        <is>
          <t>توليد فرص المشاركة والدمج لجميع الفئات</t>
        </is>
      </c>
      <c r="AI2" s="38" t="inlineStr">
        <is>
          <t>توليد فرص المشاركة والدمج لجميع الفئات</t>
        </is>
      </c>
      <c r="AJ2" s="38" t="inlineStr">
        <is>
          <t>تعزيز الشراكة والعلاقات مع المعنيين</t>
        </is>
      </c>
      <c r="AL2" s="38" t="inlineStr">
        <is>
          <t>Cancelled</t>
        </is>
      </c>
      <c r="AN2" s="38" t="inlineStr">
        <is>
          <t>Strategic</t>
        </is>
      </c>
      <c r="AP2" s="38" t="inlineStr">
        <is>
          <t>H</t>
        </is>
      </c>
      <c r="AR2" s="38" t="inlineStr">
        <is>
          <t>محلي</t>
        </is>
      </c>
      <c r="AT2" s="38" t="inlineStr">
        <is>
          <t>قيد المراجعة</t>
        </is>
      </c>
      <c r="AV2" s="38" t="inlineStr">
        <is>
          <t>قيد الإجراء</t>
        </is>
      </c>
    </row>
    <row r="3">
      <c r="A3" s="38" t="inlineStr">
        <is>
          <t>الحوكمة</t>
        </is>
      </c>
      <c r="B3" s="38" t="inlineStr">
        <is>
          <t>الأمانة العامة للمجلس التنفيذي</t>
        </is>
      </c>
      <c r="D3" s="38" t="inlineStr">
        <is>
          <t>الحوكمة</t>
        </is>
      </c>
      <c r="F3" s="38" t="inlineStr">
        <is>
          <t>الأمانة العامة للمجلس التنفيذي</t>
        </is>
      </c>
      <c r="G3" s="38" t="inlineStr">
        <is>
          <t>الشراكات والعلاقات الدولية</t>
        </is>
      </c>
      <c r="I3" s="38" t="inlineStr">
        <is>
          <t>نصف سنوي</t>
        </is>
      </c>
      <c r="K3" s="38" t="inlineStr">
        <is>
          <t>الربع الثاني</t>
        </is>
      </c>
      <c r="M3" s="38" t="inlineStr">
        <is>
          <t>فبراير</t>
        </is>
      </c>
      <c r="O3" s="38" t="n">
        <v>2016</v>
      </c>
      <c r="Q3" s="38" t="inlineStr">
        <is>
          <t>مستجد</t>
        </is>
      </c>
      <c r="S3" s="38" t="inlineStr">
        <is>
          <t>مجلس الشؤون الاستراتيجية</t>
        </is>
      </c>
      <c r="U3" s="38" t="inlineStr">
        <is>
          <t>جاهز للعرض</t>
        </is>
      </c>
      <c r="W3" s="38" t="inlineStr">
        <is>
          <t>قيد المراجعة</t>
        </is>
      </c>
      <c r="Y3" s="39" t="n">
        <v>0.05</v>
      </c>
      <c r="AA3" s="38" t="inlineStr">
        <is>
          <t>للإضافة</t>
        </is>
      </c>
      <c r="AC3" s="38" t="inlineStr">
        <is>
          <t>لا</t>
        </is>
      </c>
      <c r="AE3" s="38" t="inlineStr">
        <is>
          <t>رسالة رسمية</t>
        </is>
      </c>
      <c r="AG3" s="38" t="inlineStr">
        <is>
          <t>تعزيز مكانة الأمانة ككيان محوري في مركز الحكومة</t>
        </is>
      </c>
      <c r="AI3" s="38" t="inlineStr">
        <is>
          <t>توليد فرص المشاركة والدمج لجميع الفئات</t>
        </is>
      </c>
      <c r="AJ3" s="38" t="inlineStr">
        <is>
          <t>تعزيز كفاءة وفاعلية التواصل</t>
        </is>
      </c>
      <c r="AL3" s="38" t="inlineStr">
        <is>
          <t>Frozen</t>
        </is>
      </c>
      <c r="AN3" s="38" t="inlineStr">
        <is>
          <t>Operational</t>
        </is>
      </c>
      <c r="AP3" s="38" t="inlineStr">
        <is>
          <t>M</t>
        </is>
      </c>
      <c r="AR3" s="38" t="inlineStr">
        <is>
          <t>اتحادي</t>
        </is>
      </c>
      <c r="AT3" s="38" t="inlineStr">
        <is>
          <t xml:space="preserve">قيد الاعتماد </t>
        </is>
      </c>
      <c r="AV3" s="38" t="inlineStr">
        <is>
          <t>في الموعد</t>
        </is>
      </c>
    </row>
    <row r="4">
      <c r="A4" s="38" t="inlineStr">
        <is>
          <t>التنمية المستدامة</t>
        </is>
      </c>
      <c r="B4" s="38" t="inlineStr">
        <is>
          <t>القيادة العامة لشرطة دبي</t>
        </is>
      </c>
      <c r="D4" s="38" t="inlineStr">
        <is>
          <t>التنمية المستدامة</t>
        </is>
      </c>
      <c r="F4" s="38" t="inlineStr">
        <is>
          <t>الأمانة العامة للمجلس التنفيذي</t>
        </is>
      </c>
      <c r="G4" s="38" t="inlineStr">
        <is>
          <t>مكتب التدقيق الداخلي</t>
        </is>
      </c>
      <c r="I4" s="38" t="inlineStr">
        <is>
          <t>سنوي</t>
        </is>
      </c>
      <c r="K4" s="38" t="inlineStr">
        <is>
          <t>الربع الثالث</t>
        </is>
      </c>
      <c r="M4" s="38" t="inlineStr">
        <is>
          <t>مارس</t>
        </is>
      </c>
      <c r="O4" s="38" t="n">
        <v>2017</v>
      </c>
      <c r="S4" s="38" t="inlineStr">
        <is>
          <t>الأمانة العامة للمجلس التنفيذي</t>
        </is>
      </c>
      <c r="U4" s="38" t="inlineStr">
        <is>
          <t>قيد المراجعة</t>
        </is>
      </c>
      <c r="W4" s="38" t="inlineStr">
        <is>
          <t>قيد التطوير</t>
        </is>
      </c>
      <c r="Y4" s="39" t="n">
        <v>0.1</v>
      </c>
      <c r="AA4" s="38" t="inlineStr">
        <is>
          <t>خارج الخطة</t>
        </is>
      </c>
      <c r="AE4" s="38" t="inlineStr">
        <is>
          <t>بريد من الوحدة التنظيمية</t>
        </is>
      </c>
      <c r="AG4" s="38" t="inlineStr">
        <is>
          <t>تحقيق التميز والريادة في الأداء والخدمات</t>
        </is>
      </c>
      <c r="AI4" s="38" t="inlineStr">
        <is>
          <t>تعزيز مكانة الأمانة ككيان محوري في مركز الحكومة</t>
        </is>
      </c>
      <c r="AJ4" s="38" t="inlineStr">
        <is>
          <t>الارتقاء بالنتائج لتحقيق الميزة الريادية لدبي</t>
        </is>
      </c>
      <c r="AL4" s="38" t="inlineStr">
        <is>
          <t>Not Started</t>
        </is>
      </c>
      <c r="AP4" s="38" t="inlineStr">
        <is>
          <t>L</t>
        </is>
      </c>
      <c r="AT4" s="38" t="inlineStr">
        <is>
          <t>مغلق</t>
        </is>
      </c>
    </row>
    <row r="5">
      <c r="A5" s="38" t="inlineStr">
        <is>
          <t>التنمية المستدامة</t>
        </is>
      </c>
      <c r="B5" s="38" t="inlineStr">
        <is>
          <t>القيادة العامة للدفاع المدني - دبي</t>
        </is>
      </c>
      <c r="D5" s="38" t="inlineStr">
        <is>
          <t>الاقتصاد والتنمية الاجتماعية</t>
        </is>
      </c>
      <c r="F5" s="38" t="inlineStr">
        <is>
          <t>الأمانة العامة للمجلس التنفيذي</t>
        </is>
      </c>
      <c r="G5" s="38" t="inlineStr">
        <is>
          <t>مكتب خطة دبي</t>
        </is>
      </c>
      <c r="K5" s="38" t="inlineStr">
        <is>
          <t>الربع الرابع</t>
        </is>
      </c>
      <c r="M5" s="38" t="inlineStr">
        <is>
          <t>أبريل</t>
        </is>
      </c>
      <c r="O5" s="38" t="n">
        <v>2018</v>
      </c>
      <c r="U5" s="38" t="inlineStr">
        <is>
          <t>قيد التطوير</t>
        </is>
      </c>
      <c r="W5" s="38" t="inlineStr">
        <is>
          <t>منجز</t>
        </is>
      </c>
      <c r="Y5" s="39" t="n">
        <v>0.15</v>
      </c>
      <c r="AA5" s="38" t="inlineStr">
        <is>
          <t>لا ينطبق</t>
        </is>
      </c>
      <c r="AE5" s="38" t="inlineStr">
        <is>
          <t>ملغي</t>
        </is>
      </c>
      <c r="AG5" s="38" t="inlineStr">
        <is>
          <t>تعزيز التنسيق الداخلي والابتكار والمعرفة</t>
        </is>
      </c>
      <c r="AI5" s="38" t="inlineStr">
        <is>
          <t>تعزيز مكانة الأمانة ككيان محوري في مركز الحكومة</t>
        </is>
      </c>
      <c r="AJ5" s="38" t="inlineStr">
        <is>
          <t>ضمان توفر الأجندة السنوية للمجلس التنفيذي ومجلس الشؤون الاستراتيجية</t>
        </is>
      </c>
      <c r="AL5" s="38" t="inlineStr">
        <is>
          <t>Active</t>
        </is>
      </c>
      <c r="AT5" s="38" t="inlineStr">
        <is>
          <t>معلق</t>
        </is>
      </c>
    </row>
    <row r="6">
      <c r="A6" s="38" t="inlineStr">
        <is>
          <t>التنمية المستدامة</t>
        </is>
      </c>
      <c r="B6" s="38" t="inlineStr">
        <is>
          <t>اللجنة العليا للتخطيط الحضري</t>
        </is>
      </c>
      <c r="D6" s="38" t="inlineStr">
        <is>
          <t>التميز والخدمات الحكومية</t>
        </is>
      </c>
      <c r="F6" s="38" t="inlineStr">
        <is>
          <t>الأمانة العامة للمجلس التنفيذي</t>
        </is>
      </c>
      <c r="G6" s="38" t="inlineStr">
        <is>
          <t>الأبحاث والرصد</t>
        </is>
      </c>
      <c r="M6" s="38" t="inlineStr">
        <is>
          <t>مايو</t>
        </is>
      </c>
      <c r="O6" s="38" t="n">
        <v>2019</v>
      </c>
      <c r="U6" s="38" t="inlineStr">
        <is>
          <t>منجز</t>
        </is>
      </c>
      <c r="Y6" s="39" t="n">
        <v>0.2</v>
      </c>
      <c r="AI6" s="38" t="inlineStr">
        <is>
          <t>تعزيز مكانة الأمانة ككيان محوري في مركز الحكومة</t>
        </is>
      </c>
      <c r="AJ6" s="38" t="inlineStr">
        <is>
          <t>تعزيز التوافق لنماذج العمل والسياسات والاستراتيجيات والأطر التنظيمية للحكومة</t>
        </is>
      </c>
      <c r="AL6" s="38" t="inlineStr">
        <is>
          <t>Completed</t>
        </is>
      </c>
    </row>
    <row r="7">
      <c r="A7" s="38" t="inlineStr">
        <is>
          <t>التنمية المستدامة</t>
        </is>
      </c>
      <c r="B7" s="38" t="inlineStr">
        <is>
          <t>اللجنة العليا للتشريعات في إمارة دبي</t>
        </is>
      </c>
      <c r="D7" s="38" t="inlineStr">
        <is>
          <t>الاتصال الحكومي وشؤون الأمانة العامة</t>
        </is>
      </c>
      <c r="F7" s="38" t="inlineStr">
        <is>
          <t>الحوكمة</t>
        </is>
      </c>
      <c r="G7" s="38" t="inlineStr">
        <is>
          <t>الحوكمة</t>
        </is>
      </c>
      <c r="M7" s="38" t="inlineStr">
        <is>
          <t>يونيو</t>
        </is>
      </c>
      <c r="O7" s="38" t="n">
        <v>2020</v>
      </c>
      <c r="Y7" s="39" t="n">
        <v>0.25</v>
      </c>
      <c r="AI7" s="38" t="inlineStr">
        <is>
          <t>تحقيق التميز والريادة في الأداء والخدمات</t>
        </is>
      </c>
      <c r="AJ7" s="38" t="inlineStr">
        <is>
          <t>تقييم وتقرير مستوى التميز في الأداء والخدمات</t>
        </is>
      </c>
      <c r="AL7" s="38" t="inlineStr">
        <is>
          <t>Transferred</t>
        </is>
      </c>
    </row>
    <row r="8">
      <c r="A8" s="38" t="inlineStr">
        <is>
          <t>التنمية المستدامة</t>
        </is>
      </c>
      <c r="B8" s="38" t="inlineStr">
        <is>
          <t>المجلس الأعلى للطاقة</t>
        </is>
      </c>
      <c r="F8" s="38" t="inlineStr">
        <is>
          <t>الحوكمة</t>
        </is>
      </c>
      <c r="G8" s="38" t="inlineStr">
        <is>
          <t>التشريعات الحكومية</t>
        </is>
      </c>
      <c r="M8" s="38" t="inlineStr">
        <is>
          <t>يوليو</t>
        </is>
      </c>
      <c r="O8" s="38" t="n">
        <v>2021</v>
      </c>
      <c r="Y8" s="39" t="n">
        <v>0.3</v>
      </c>
      <c r="AI8" s="38" t="inlineStr">
        <is>
          <t>تحقيق التميز والريادة في الأداء والخدمات</t>
        </is>
      </c>
      <c r="AJ8" s="38" t="inlineStr">
        <is>
          <t>تطوير وتمكين التميز في الأداء والخدمات الحكومية</t>
        </is>
      </c>
    </row>
    <row r="9">
      <c r="A9" s="38" t="inlineStr">
        <is>
          <t>التنمية المستدامة</t>
        </is>
      </c>
      <c r="B9" s="38" t="inlineStr">
        <is>
          <t>المكتب الإعلامي لحكومة دبي</t>
        </is>
      </c>
      <c r="F9" s="38" t="inlineStr">
        <is>
          <t>الحوكمة</t>
        </is>
      </c>
      <c r="G9" s="38" t="inlineStr">
        <is>
          <t>التنفيذ والأداء</t>
        </is>
      </c>
      <c r="M9" s="38" t="inlineStr">
        <is>
          <t>أغسطس</t>
        </is>
      </c>
      <c r="O9" s="38" t="n">
        <v>2022</v>
      </c>
      <c r="Y9" s="39" t="n">
        <v>0.35</v>
      </c>
      <c r="AI9" s="38" t="inlineStr">
        <is>
          <t>تعزيز التنسيق الداخلي والابتكار والمعرفة</t>
        </is>
      </c>
      <c r="AJ9" s="38" t="inlineStr">
        <is>
          <t>تحقيق التميز في الأداء والخدمات المؤسسية</t>
        </is>
      </c>
    </row>
    <row r="10">
      <c r="A10" s="38" t="inlineStr">
        <is>
          <t>التنمية المستدامة</t>
        </is>
      </c>
      <c r="B10" s="38" t="inlineStr">
        <is>
          <t>النيابة العامة</t>
        </is>
      </c>
      <c r="F10" s="38" t="inlineStr">
        <is>
          <t>التنمية المستدامة</t>
        </is>
      </c>
      <c r="G10" s="38" t="inlineStr">
        <is>
          <t>السياسات والاستراتيجيات الصحية والعدل</t>
        </is>
      </c>
      <c r="M10" s="38" t="inlineStr">
        <is>
          <t>سبتمبر</t>
        </is>
      </c>
      <c r="O10" s="38" t="n">
        <v>2023</v>
      </c>
      <c r="Y10" s="39" t="n">
        <v>0.4</v>
      </c>
      <c r="AI10" s="38" t="inlineStr">
        <is>
          <t>تعزيز التنسيق الداخلي والابتكار والمعرفة</t>
        </is>
      </c>
      <c r="AJ10" s="38" t="inlineStr">
        <is>
          <t>تعزيز ثقافة التعاون والعمل المشترك</t>
        </is>
      </c>
    </row>
    <row r="11">
      <c r="A11" s="38" t="inlineStr">
        <is>
          <t>التنمية المستدامة</t>
        </is>
      </c>
      <c r="B11" s="38" t="inlineStr">
        <is>
          <t>بلدية دبي</t>
        </is>
      </c>
      <c r="F11" s="38" t="inlineStr">
        <is>
          <t>التنمية المستدامة</t>
        </is>
      </c>
      <c r="G11" s="38" t="inlineStr">
        <is>
          <t>السياسات والاستراتيجيات البيئية والبنية التحتية</t>
        </is>
      </c>
      <c r="M11" s="38" t="inlineStr">
        <is>
          <t>أكتوبر</t>
        </is>
      </c>
      <c r="O11" s="38" t="n">
        <v>2024</v>
      </c>
      <c r="Y11" s="39" t="n">
        <v>0.45</v>
      </c>
      <c r="AI11" s="38" t="inlineStr">
        <is>
          <t>تعزيز التنسيق الداخلي والابتكار والمعرفة</t>
        </is>
      </c>
      <c r="AJ11" s="38" t="inlineStr">
        <is>
          <t>توفير بيئة عمل محفزة وسعيدة</t>
        </is>
      </c>
    </row>
    <row r="12">
      <c r="A12" s="38" t="inlineStr">
        <is>
          <t>التنمية المستدامة</t>
        </is>
      </c>
      <c r="B12" s="38" t="inlineStr">
        <is>
          <t>جمارك دبي</t>
        </is>
      </c>
      <c r="F12" s="38" t="inlineStr">
        <is>
          <t>الاقتصاد والتنمية الاجتماعية</t>
        </is>
      </c>
      <c r="G12" s="38" t="inlineStr">
        <is>
          <t>السياسات والإستراتيجيات الاجتماعية</t>
        </is>
      </c>
      <c r="M12" s="38" t="inlineStr">
        <is>
          <t>نوفمبر</t>
        </is>
      </c>
      <c r="O12" s="38" t="n">
        <v>2025</v>
      </c>
      <c r="Y12" s="39" t="n">
        <v>0.5</v>
      </c>
      <c r="AI12" s="38" t="inlineStr">
        <is>
          <t>تعزيز التنسيق الداخلي والابتكار والمعرفة</t>
        </is>
      </c>
      <c r="AJ12" s="38" t="inlineStr">
        <is>
          <t>ترسيخ ثقافة التشارك المعرفي والجاهزية للمستقبل</t>
        </is>
      </c>
    </row>
    <row r="13">
      <c r="A13" s="38" t="inlineStr">
        <is>
          <t>التنمية المستدامة</t>
        </is>
      </c>
      <c r="B13" s="38" t="inlineStr">
        <is>
          <t>جهاز أمن الدولة بدبي</t>
        </is>
      </c>
      <c r="F13" s="38" t="inlineStr">
        <is>
          <t>الاقتصاد والتنمية الاجتماعية</t>
        </is>
      </c>
      <c r="G13" s="38" t="inlineStr">
        <is>
          <t>السياسات والإستراتيجيات الاقتصادية</t>
        </is>
      </c>
      <c r="M13" s="38" t="inlineStr">
        <is>
          <t>ديسمبر</t>
        </is>
      </c>
      <c r="O13" s="38" t="n">
        <v>2026</v>
      </c>
      <c r="Y13" s="39" t="n">
        <v>0.55</v>
      </c>
    </row>
    <row r="14">
      <c r="A14" s="38" t="inlineStr">
        <is>
          <t>الحوكمة</t>
        </is>
      </c>
      <c r="B14" s="38" t="inlineStr">
        <is>
          <t>جهاز الرقابة المالية</t>
        </is>
      </c>
      <c r="F14" s="38" t="inlineStr">
        <is>
          <t>التميز والخدمات الحكومية</t>
        </is>
      </c>
      <c r="G14" s="38" t="inlineStr">
        <is>
          <t>التقييم والدراسات</t>
        </is>
      </c>
      <c r="O14" s="38" t="n">
        <v>2027</v>
      </c>
      <c r="Y14" s="39" t="n">
        <v>0.6</v>
      </c>
    </row>
    <row r="15">
      <c r="A15" s="38" t="inlineStr">
        <is>
          <t>التنمية المستدامة</t>
        </is>
      </c>
      <c r="B15" s="38" t="inlineStr">
        <is>
          <t>دائرة الأراضي والأملاك</t>
        </is>
      </c>
      <c r="F15" s="38" t="inlineStr">
        <is>
          <t>التميز والخدمات الحكومية</t>
        </is>
      </c>
      <c r="G15" s="38" t="inlineStr">
        <is>
          <t>التميز والخدمات الحكومية</t>
        </is>
      </c>
      <c r="O15" s="38" t="n">
        <v>2028</v>
      </c>
      <c r="Y15" s="39" t="n">
        <v>0.65</v>
      </c>
    </row>
    <row r="16">
      <c r="A16" s="38" t="inlineStr">
        <is>
          <t>الاقتصاد والتنمية الاجتماعية</t>
        </is>
      </c>
      <c r="B16" s="38" t="inlineStr">
        <is>
          <t>دائرة الاقتصاد والسياحة بدبي</t>
        </is>
      </c>
      <c r="F16" s="38" t="inlineStr">
        <is>
          <t>الاتصال الحكومي وشؤون الأمانة العامة</t>
        </is>
      </c>
      <c r="G16" s="38" t="inlineStr">
        <is>
          <t>الاتصال الحكومي</t>
        </is>
      </c>
      <c r="O16" s="38" t="n">
        <v>2029</v>
      </c>
      <c r="Y16" s="39" t="n">
        <v>0.7</v>
      </c>
    </row>
    <row r="17">
      <c r="A17" s="38" t="inlineStr">
        <is>
          <t>الاقتصاد والتنمية الاجتماعية</t>
        </is>
      </c>
      <c r="B17" s="38" t="inlineStr">
        <is>
          <t>دائرة الشؤون الإسلامية والعمل الخيري</t>
        </is>
      </c>
      <c r="F17" s="38" t="inlineStr">
        <is>
          <t>الاتصال الحكومي وشؤون الأمانة العامة</t>
        </is>
      </c>
      <c r="G17" s="38" t="inlineStr">
        <is>
          <t>الاتصال الداخلي</t>
        </is>
      </c>
      <c r="O17" s="38" t="n">
        <v>2030</v>
      </c>
      <c r="Y17" s="39" t="n">
        <v>0.75</v>
      </c>
    </row>
    <row r="18">
      <c r="A18" s="38" t="inlineStr">
        <is>
          <t>التنمية المستدامة</t>
        </is>
      </c>
      <c r="B18" s="38" t="inlineStr">
        <is>
          <t>دائرة الشؤون القانونية لحكومة دبي</t>
        </is>
      </c>
      <c r="F18" s="38" t="inlineStr">
        <is>
          <t>الاتصال الحكومي وشؤون الأمانة العامة</t>
        </is>
      </c>
      <c r="G18" s="38" t="inlineStr">
        <is>
          <t>الخدمات المؤسسية</t>
        </is>
      </c>
      <c r="O18" s="38" t="n">
        <v>2031</v>
      </c>
      <c r="Y18" s="39" t="n">
        <v>0.8</v>
      </c>
    </row>
    <row r="19">
      <c r="A19" s="38" t="inlineStr">
        <is>
          <t>الحوكمة</t>
        </is>
      </c>
      <c r="B19" s="38" t="inlineStr">
        <is>
          <t>دائرة المالية</t>
        </is>
      </c>
      <c r="F19" s="38" t="inlineStr">
        <is>
          <t>الاتصال الحكومي وشؤون الأمانة العامة</t>
        </is>
      </c>
      <c r="G19" s="38" t="inlineStr">
        <is>
          <t>تميز الموارد البشرية</t>
        </is>
      </c>
      <c r="O19" s="38" t="n">
        <v>2032</v>
      </c>
      <c r="Y19" s="39" t="n">
        <v>0.85</v>
      </c>
    </row>
    <row r="20">
      <c r="A20" s="38" t="inlineStr">
        <is>
          <t>الحوكمة</t>
        </is>
      </c>
      <c r="B20" s="38" t="inlineStr">
        <is>
          <t>دائرة الموارد البشرية لحكومة دبي</t>
        </is>
      </c>
      <c r="F20" s="38" t="inlineStr">
        <is>
          <t>الاتصال الحكومي وشؤون الأمانة العامة</t>
        </is>
      </c>
      <c r="G20" s="38" t="inlineStr">
        <is>
          <t>المشتريات والشؤون الإدارية</t>
        </is>
      </c>
      <c r="O20" s="38" t="n">
        <v>2033</v>
      </c>
      <c r="Y20" s="39" t="n">
        <v>0.9</v>
      </c>
    </row>
    <row r="21">
      <c r="A21" s="38" t="inlineStr">
        <is>
          <t>الاقتصاد والتنمية الاجتماعية</t>
        </is>
      </c>
      <c r="B21" s="38" t="inlineStr">
        <is>
          <t>سلطة مركز دبي المالي العالمي</t>
        </is>
      </c>
      <c r="F21" s="38" t="inlineStr">
        <is>
          <t>الاتصال الحكومي وشؤون الأمانة العامة</t>
        </is>
      </c>
      <c r="G21" s="38" t="inlineStr">
        <is>
          <t>تقنية المعلومات</t>
        </is>
      </c>
      <c r="O21" s="38" t="n">
        <v>2034</v>
      </c>
      <c r="Y21" s="39" t="n">
        <v>0.95</v>
      </c>
    </row>
    <row r="22">
      <c r="A22" s="38" t="inlineStr">
        <is>
          <t>الاقتصاد والتنمية الاجتماعية</t>
        </is>
      </c>
      <c r="B22" s="38" t="inlineStr">
        <is>
          <t>مجلس تنمية الموارد البشرية الإماراتية</t>
        </is>
      </c>
      <c r="F22" s="38" t="inlineStr">
        <is>
          <t>الاتصال الحكومي وشؤون الأمانة العامة</t>
        </is>
      </c>
      <c r="G22" s="38" t="inlineStr">
        <is>
          <t>المالية والحسابات</t>
        </is>
      </c>
      <c r="O22" s="38" t="n">
        <v>2035</v>
      </c>
      <c r="Y22" s="39" t="n">
        <v>1</v>
      </c>
    </row>
    <row r="23">
      <c r="A23" s="38" t="inlineStr">
        <is>
          <t>الاقتصاد والتنمية الاجتماعية</t>
        </is>
      </c>
      <c r="B23" s="38" t="inlineStr">
        <is>
          <t>مجلس دبي الرياضي</t>
        </is>
      </c>
      <c r="F23" s="38" t="inlineStr">
        <is>
          <t>الاتصال الحكومي وشؤون الأمانة العامة</t>
        </is>
      </c>
      <c r="G23" s="38" t="inlineStr">
        <is>
          <t>المراسلات والأرشفة</t>
        </is>
      </c>
      <c r="O23" s="38" t="n">
        <v>2036</v>
      </c>
    </row>
    <row r="24">
      <c r="A24" s="38" t="inlineStr">
        <is>
          <t>الاقتصاد والتنمية الاجتماعية</t>
        </is>
      </c>
      <c r="B24" s="38" t="inlineStr">
        <is>
          <t>مجلس المناطق الحرة في إمارة دبي</t>
        </is>
      </c>
      <c r="F24" s="38" t="inlineStr">
        <is>
          <t>الاتصال الحكومي وشؤون الأمانة العامة</t>
        </is>
      </c>
      <c r="G24" s="38" t="inlineStr">
        <is>
          <t>تنفيذ ومتابعة المشاريع الميدانية</t>
        </is>
      </c>
      <c r="O24" s="38" t="n">
        <v>2037</v>
      </c>
    </row>
    <row r="25">
      <c r="A25" s="38" t="inlineStr">
        <is>
          <t>التنمية المستدامة</t>
        </is>
      </c>
      <c r="B25" s="38" t="inlineStr">
        <is>
          <t>محاكم دبي</t>
        </is>
      </c>
      <c r="O25" s="38" t="n">
        <v>2038</v>
      </c>
    </row>
    <row r="26">
      <c r="A26" s="38" t="inlineStr">
        <is>
          <t>التنمية المستدامة</t>
        </is>
      </c>
      <c r="B26" s="38" t="inlineStr">
        <is>
          <t>محاكم مركز دبي المالي العالمي</t>
        </is>
      </c>
      <c r="O26" s="38" t="n">
        <v>2039</v>
      </c>
    </row>
    <row r="27">
      <c r="A27" s="38" t="inlineStr">
        <is>
          <t>التنمية المستدامة</t>
        </is>
      </c>
      <c r="B27" s="38" t="inlineStr">
        <is>
          <t>مركز إرادة للعلاج والتأهيل في دبي</t>
        </is>
      </c>
      <c r="O27" s="38" t="n">
        <v>2040</v>
      </c>
    </row>
    <row r="28">
      <c r="A28" s="38" t="inlineStr">
        <is>
          <t>التنمية المستدامة</t>
        </is>
      </c>
      <c r="B28" s="38" t="inlineStr">
        <is>
          <t>مركز الإمارات العالمي للاعتماد</t>
        </is>
      </c>
    </row>
    <row r="29">
      <c r="A29" s="38" t="inlineStr">
        <is>
          <t>التنمية المستدامة</t>
        </is>
      </c>
      <c r="B29" s="38" t="inlineStr">
        <is>
          <t>مركز دبي للأمن الإلكتروني</t>
        </is>
      </c>
    </row>
    <row r="30">
      <c r="A30" s="38" t="inlineStr">
        <is>
          <t>التنمية المستدامة</t>
        </is>
      </c>
      <c r="B30" s="38" t="inlineStr">
        <is>
          <t>مركز دبي للأمن الاقتصادي</t>
        </is>
      </c>
    </row>
    <row r="31">
      <c r="A31" s="38" t="inlineStr">
        <is>
          <t>الاقتصاد والتنمية الاجتماعية</t>
        </is>
      </c>
      <c r="B31" s="38" t="inlineStr">
        <is>
          <t>مركز دبي المالي العالمي</t>
        </is>
      </c>
    </row>
    <row r="32">
      <c r="A32" s="38" t="inlineStr">
        <is>
          <t>التنمية المستدامة</t>
        </is>
      </c>
      <c r="B32" s="38" t="inlineStr">
        <is>
          <t>مركز دبي للمرونة</t>
        </is>
      </c>
    </row>
    <row r="33">
      <c r="A33" s="38" t="inlineStr">
        <is>
          <t>التنمية المستدامة</t>
        </is>
      </c>
      <c r="B33" s="38" t="inlineStr">
        <is>
          <t>مؤسسة الاتصالات المتخصصة (نداء)</t>
        </is>
      </c>
    </row>
    <row r="34">
      <c r="A34" s="38" t="inlineStr">
        <is>
          <t>الاقتصاد والتنمية الاجتماعية</t>
        </is>
      </c>
      <c r="B34" s="38" t="inlineStr">
        <is>
          <t>مؤسسة الأوقاف وإدارة أموال القُصّر في دبي</t>
        </is>
      </c>
    </row>
    <row r="35">
      <c r="A35" s="38" t="inlineStr">
        <is>
          <t>التنمية المستدامة</t>
        </is>
      </c>
      <c r="B35" s="38" t="inlineStr">
        <is>
          <t>مؤسسة الموانئ والجمارك والمنطقة الحرة</t>
        </is>
      </c>
    </row>
    <row r="36">
      <c r="A36" s="38" t="inlineStr">
        <is>
          <t>التنمية المستدامة</t>
        </is>
      </c>
      <c r="B36" s="38" t="inlineStr">
        <is>
          <t>مؤسسة دبي الصحية</t>
        </is>
      </c>
    </row>
    <row r="37">
      <c r="A37" s="38" t="inlineStr">
        <is>
          <t>التنمية المستدامة</t>
        </is>
      </c>
      <c r="B37" s="38" t="inlineStr">
        <is>
          <t>مؤسسة دبي لخدمات الإسعاف</t>
        </is>
      </c>
    </row>
    <row r="38">
      <c r="A38" s="38" t="inlineStr">
        <is>
          <t>الاقتصاد والتنمية الاجتماعية</t>
        </is>
      </c>
      <c r="B38" s="38" t="inlineStr">
        <is>
          <t>مؤسسة دبي للمستقبل</t>
        </is>
      </c>
    </row>
    <row r="39">
      <c r="A39" s="38" t="inlineStr">
        <is>
          <t>التنمية المستدامة</t>
        </is>
      </c>
      <c r="B39" s="38" t="inlineStr">
        <is>
          <t>مؤسسة دبي للمطارات</t>
        </is>
      </c>
    </row>
    <row r="40">
      <c r="A40" s="38" t="inlineStr">
        <is>
          <t>الاقتصاد والتنمية الاجتماعية</t>
        </is>
      </c>
      <c r="B40" s="38" t="inlineStr">
        <is>
          <t>مؤسسة صندوق المعرفة</t>
        </is>
      </c>
    </row>
    <row r="41">
      <c r="A41" s="38" t="inlineStr">
        <is>
          <t>الاقتصاد والتنمية الاجتماعية</t>
        </is>
      </c>
      <c r="B41" s="38" t="inlineStr">
        <is>
          <t>مؤسسة مكتبة محمد بن راشد آل مكتوم</t>
        </is>
      </c>
    </row>
    <row r="42">
      <c r="A42" s="38" t="inlineStr">
        <is>
          <t>الاقتصاد والتنمية الاجتماعية</t>
        </is>
      </c>
      <c r="B42" s="38" t="inlineStr">
        <is>
          <t>مؤسسة محمد بن راشد للإسكان</t>
        </is>
      </c>
    </row>
    <row r="43">
      <c r="A43" s="38" t="inlineStr">
        <is>
          <t>التنمية المستدامة</t>
        </is>
      </c>
      <c r="B43" s="38" t="inlineStr">
        <is>
          <t>مؤسسة تنظيم الصناعة الأمنية</t>
        </is>
      </c>
    </row>
    <row r="44">
      <c r="A44" s="38" t="inlineStr">
        <is>
          <t>الاقتصاد والتنمية الاجتماعية</t>
        </is>
      </c>
      <c r="B44" s="38" t="inlineStr">
        <is>
          <t>هيئة الثقافة والفنون في دبي</t>
        </is>
      </c>
    </row>
    <row r="45">
      <c r="A45" s="38" t="inlineStr">
        <is>
          <t>التنمية المستدامة</t>
        </is>
      </c>
      <c r="B45" s="38" t="inlineStr">
        <is>
          <t>هيئة الصحة بدبي</t>
        </is>
      </c>
    </row>
    <row r="46">
      <c r="A46" s="38" t="inlineStr">
        <is>
          <t>التنمية المستدامة</t>
        </is>
      </c>
      <c r="B46" s="38" t="inlineStr">
        <is>
          <t>هيئة الطرق والمواصلات</t>
        </is>
      </c>
    </row>
    <row r="47">
      <c r="A47" s="38" t="inlineStr">
        <is>
          <t>الاقتصاد والتنمية الاجتماعية</t>
        </is>
      </c>
      <c r="B47" s="38" t="inlineStr">
        <is>
          <t>هيئة المعرفة والتنمية البشرية</t>
        </is>
      </c>
    </row>
    <row r="48">
      <c r="A48" s="38" t="inlineStr">
        <is>
          <t>الاقتصاد والتنمية الاجتماعية</t>
        </is>
      </c>
      <c r="B48" s="38" t="inlineStr">
        <is>
          <t>هيئة تنمية المجتمع</t>
        </is>
      </c>
    </row>
    <row r="49">
      <c r="A49" s="38" t="inlineStr">
        <is>
          <t>الحوكمة</t>
        </is>
      </c>
      <c r="B49" s="38" t="inlineStr">
        <is>
          <t>هيئة دبي الرقمية</t>
        </is>
      </c>
    </row>
    <row r="50">
      <c r="A50" s="38" t="inlineStr">
        <is>
          <t>التنمية المستدامة</t>
        </is>
      </c>
      <c r="B50" s="38" t="inlineStr">
        <is>
          <t>هيئة دبي للبيئة والتغير المناخي</t>
        </is>
      </c>
    </row>
    <row r="51">
      <c r="A51" s="38" t="inlineStr">
        <is>
          <t>التنمية المستدامة</t>
        </is>
      </c>
      <c r="B51" s="38" t="inlineStr">
        <is>
          <t>هيئة دبي للطيران المدني</t>
        </is>
      </c>
    </row>
    <row r="52">
      <c r="A52" s="38" t="inlineStr">
        <is>
          <t>التنمية المستدامة</t>
        </is>
      </c>
      <c r="B52" s="38" t="inlineStr">
        <is>
          <t>هيئة كهرباء ومياه دبي</t>
        </is>
      </c>
    </row>
    <row r="53">
      <c r="A53" s="38" t="inlineStr">
        <is>
          <t>الحوكمة</t>
        </is>
      </c>
      <c r="B53" s="38" t="inlineStr">
        <is>
          <t>مكتب سمو نائب حاكم دبي نائب رئيس مجلس الوزراء وزير المالية</t>
        </is>
      </c>
    </row>
  </sheetData>
  <pageMargins left="0.7" right="0.7" top="0.75" bottom="0.75" header="0.3" footer="0.3"/>
  <pageSetup orientation="portrait"/>
  <headerFooter>
    <oddHeader/>
    <oddFooter>&amp;C&amp;"Calibri"Classification: &amp;K4BF542&amp;10&amp;"Calibri"&amp;10 &amp;K000000&amp;BOpen&amp;B</oddFooter>
    <evenHeader/>
    <evenFooter/>
    <firstHeader/>
    <firstFooter/>
  </headerFooter>
  <tableParts count="2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  <tablePart xmlns:r="http://schemas.openxmlformats.org/officeDocument/2006/relationships" r:id="rId19"/>
    <tablePart xmlns:r="http://schemas.openxmlformats.org/officeDocument/2006/relationships" r:id="rId20"/>
    <tablePart xmlns:r="http://schemas.openxmlformats.org/officeDocument/2006/relationships" r:id="rId21"/>
    <tablePart xmlns:r="http://schemas.openxmlformats.org/officeDocument/2006/relationships" r:id="rId22"/>
    <tablePart xmlns:r="http://schemas.openxmlformats.org/officeDocument/2006/relationships" r:id="rId23"/>
  </tableParts>
</worksheet>
</file>

<file path=xl/worksheets/sheet3.xml><?xml version="1.0" encoding="utf-8"?>
<worksheet xmlns="http://schemas.openxmlformats.org/spreadsheetml/2006/main">
  <sheetPr>
    <tabColor theme="0"/>
    <outlinePr summaryBelow="1" summaryRight="1"/>
    <pageSetUpPr/>
  </sheetPr>
  <dimension ref="B1:W11"/>
  <sheetViews>
    <sheetView showGridLines="0" rightToLeft="1" topLeftCell="A2" zoomScale="97" zoomScaleNormal="65" workbookViewId="0">
      <selection activeCell="F8" sqref="F8"/>
    </sheetView>
  </sheetViews>
  <sheetFormatPr baseColWidth="8" defaultColWidth="9.140625" defaultRowHeight="21"/>
  <cols>
    <col width="2" customWidth="1" style="72" min="1" max="1"/>
    <col width="22.140625" bestFit="1" customWidth="1" style="72" min="2" max="2"/>
    <col width="45.28515625" customWidth="1" style="72" min="3" max="3"/>
    <col width="20.28515625" bestFit="1" customWidth="1" style="72" min="4" max="4"/>
    <col width="13.42578125" bestFit="1" customWidth="1" style="72" min="5" max="5"/>
    <col width="64.28515625" customWidth="1" style="72" min="6" max="6"/>
    <col width="51.140625" customWidth="1" style="72" min="7" max="8"/>
    <col width="6.140625" bestFit="1" customWidth="1" style="73" min="9" max="9"/>
    <col width="12.5703125" bestFit="1" customWidth="1" style="72" min="10" max="10"/>
    <col width="11.140625" bestFit="1" customWidth="1" style="72" min="11" max="11"/>
    <col width="60.5703125" customWidth="1" style="72" min="12" max="12"/>
    <col width="9.140625" customWidth="1" style="72" min="13" max="16384"/>
  </cols>
  <sheetData>
    <row r="1" ht="22.5" customFormat="1" customHeight="1" s="70">
      <c r="I1" s="71" t="n"/>
    </row>
    <row r="2" ht="22.5" customFormat="1" customHeight="1" s="70">
      <c r="F2" s="228" t="inlineStr">
        <is>
          <t>Performance Search
(Enter any part of the text Below)</t>
        </is>
      </c>
      <c r="I2" s="71" t="n"/>
    </row>
    <row r="3" ht="22.5" customFormat="1" customHeight="1" s="70">
      <c r="I3" s="71" t="n"/>
      <c r="W3" s="70">
        <f t="array" ref="W3">SUMPRODUCT(
    (--(Legislations[Late KPI]="متأخر")) *
    (IF($A$3="", 1, --(Legislations[القطاع]=$A$3))) *
    (IF($B$3="", 1, --(Legislations[الإدارة]=$B$3)))
)</f>
        <v/>
      </c>
    </row>
    <row r="4" ht="22.5" customFormat="1" customHeight="1" s="70">
      <c r="I4" s="71" t="n"/>
    </row>
    <row r="5" ht="22.5" customFormat="1" customHeight="1" s="70">
      <c r="I5" s="71" t="n"/>
    </row>
    <row r="6" ht="22.5" customFormat="1" customHeight="1" s="70"/>
    <row r="7" ht="23.25" customFormat="1" customHeight="1" s="70" thickBot="1"/>
    <row r="8" ht="37.5" customFormat="1" customHeight="1" s="70" thickBot="1">
      <c r="F8" s="93" t="n"/>
    </row>
    <row r="9">
      <c r="I9" s="72" t="n"/>
    </row>
    <row r="10">
      <c r="B10" s="74">
        <f>IF(TRIM($F$8)="","",_xlfn.LET(_xlpm.n,ROWS(_xlfn.ANCHORARRAY(B11))-1,IF(_xlpm.n=0,"عدد البيانات 0",IF(INDEX(_xlfn.ANCHORARRAY(B11),2,1)="No matching results","عدد البيانات 0","عدد البيانات "&amp;_xlpm.n))))</f>
        <v/>
      </c>
    </row>
    <row r="11">
      <c r="B11" s="72">
        <f t="array" ref="B11">IF(TRIM($F$8)="","",_xlfn.LET(
_xlpm.q,TRIM($F$8),
_xlpm.nl,CHAR(10),
_xlpm.txt,_xlfn.LAMBDA(_xlpm.v,IF(_xlpm.v="","",_xlpm.v&amp;"")),
_xlpm.add,_xlfn.LAMBDA(_xlpm.v,IF(_xlpm.v="","",_xlpm.nl&amp;_xlpm.v)),
_xlpm.dt,_xlfn.LAMBDA(_xlpm.v,IF((_xlpm.v="")+(_xlpm.v=0),"",IF(ISNUMBER(_xlpm.v),TEXT(_xlpm.v,"dd/mm/yyyy"),_xlpm.v))),
_xlpm.pct,_xlfn.LAMBDA(_xlpm.v,IF(_xlpm.v="","",IF(ISNUMBER(_xlpm.v),TEXT(_xlpm.v,"0.0%"),_xlpm.v))),
_xlpm.num,_xlfn.LAMBDA(_xlpm.v,IF(_xlpm.v="","",IF(ISNUMBER(_xlpm.v),TEXT(_xlpm.v,"#,##0.00"),_xlpm.v))),
_xlpm.owner,_xlfn.LAMBDA(_xlpm.v,IF(_xlpm.v="","غير مسجل",_xlpm.v&amp;"")),
_xlpm.org,_xlfn.LAMBDA(_xlpm.entity,_xlpm.dept,_xlpm.sector,_xlpm.txt(_xlpm.entity)&amp;_xlpm.add(_xlpm.dept)&amp;_xlpm.add(_xlpm.sector)),
_xlpm.progress,_xlfn.LAMBDA(_xlpm.status,_xlpm.v,_xlpm.txt(_xlpm.status)&amp;_xlpm.add(_xlpm.pct(_xlpm.v))),
_xlpm.measured,_xlfn.LAMBDA(_xlpm.numer,_xlpm.denom,_xlpm.result,
IF(ISNUMBER(_xlpm.numer)*ISNUMBER(_xlpm.denom)*(_xlpm.denom&lt;&gt;0),_xlpm.pct(_xlpm.result),"")),
_xlpm.agendaTitle,ECSAC[[الموضوع ]],
_xlpm.agendaData,_xlfn.HSTACK(
IF(_xlpm.agendaTitle&lt;&gt;"","الأجندة السنوية",""),
_xlpm.txt(_xlpm.agendaTitle)&amp;_xlpm.add(ECSAC[تصنيف الموضوع]),
_xlpm.txt(ECSAC[مستوى الإنجاز]),
TRIM(_xlpm.txt(ECSAC[شهر الإنجاز])&amp;" "&amp;_xlpm.txt(ECSAC[سنة الإنجاز]))&amp;
_xlpm.add(ECSAC[الموعد الجديد إن وجد (شهر)]),
_xlpm.owner(ECSAC[منسق الأمانة العامة]),
_xlpm.org(ECSAC[الجهة المعنية],ECSAC[الإدارة],ECSAC[القطاع]),
_xlpm.txt(ECSAC[ملاحظات فريق الأمانة العامة])&amp;
_xlpm.add(_xlpm.dt(ECSAC[تاريخ العرض على مجلس الشؤون]))&amp;
_xlpm.add(_xlpm.dt(ECSAC[تاريخ العرض على المجلس التنفيذي]))&amp;
_xlpm.add(ECSAC[ملاحظات مقرر المجالس]),
_xlpm.txt(_xlpm.agendaTitle),
IF(_xlpm.agendaTitle&lt;&gt;"","Annual Agenda","")
),
_xlpm.decisionTitle,Resolutions[الموضوع],
_xlpm.decisionData,_xlfn.HSTACK(
IF(_xlpm.decisionTitle&lt;&gt;"","قرارات المجالس",""),
_xlpm.txt(_xlpm.decisionTitle)&amp;
_xlpm.add(Resolutions[رقم القرار])&amp;
_xlpm.add(Resolutions[صادر عن]),
_xlpm.progress(Resolutions[مستوى الإنجاز],Resolutions[نسبه الإنجاز]),
_xlpm.dt(Resolutions[تاريخ الاجتماع]),
_xlpm.owner(Resolutions[منسق الأمانة العامة]),
_xlpm.org(Resolutions[الجهة المعنية],Resolutions[الإدارة],Resolutions[القطاع]),
_xlpm.txt(Resolutions[متطلبات المتابعة])&amp;
_xlpm.add(_xlpm.dt(Resolutions[تاريخ إصدار خطاب المتابعة]))&amp;
_xlpm.add(_xlpm.dt(Resolutions[تاريخ الرد]))&amp;
_xlpm.add(Resolutions[ملاحظات]),
_xlpm.txt(_xlpm.decisionTitle),
"Decisions "&amp;Resolutions[القرار الأخير]
),
_xlpm.legislationTitle,Legislations[[عنوان التشريع ]],
_xlpm.legislationData,_xlfn.HSTACK(
IF(_xlpm.legislationTitle&lt;&gt;"","التشريعات",""),
_xlpm.txt(_xlpm.legislationTitle)&amp;
_xlpm.add(Legislations[الرقم MCMS])&amp;
_xlpm.add(Legislations[طبيعة التشريع]),
_xlpm.txt(Legislations[[الحالة ]])&amp;
IF(Legislations[تجاوز الموعد]="متأخر",_xlpm.nl&amp;"تجاوز الموعد","")&amp;
IF(Legislations[Late KPI]="متأخر",_xlpm.nl&amp;"متأخر وفق تاريخ التحقق",""),
_xlpm.dt(Legislations[التاريخ المحدد من إدارة التشريعات])&amp;
_xlpm.add(_xlpm.dt(Legislations[تاريخ الإنجاز وفق (SLC) ]))&amp;
_xlpm.add(_xlpm.dt(Legislations[تمديد حتى])),
IF(_xlpm.legislationTitle&lt;&gt;"","غير مسجل",""),
_xlpm.org(Legislations[[الجهة المرسلة ]],Legislations[الإدارة],Legislations[القطاع]),
_xlpm.txt(Legislations[[مرحلة التشريع ]])&amp;
_xlpm.add(Legislations[[مستجدات ]]),
_xlpm.txt(_xlpm.legislationTitle),
"Legislation "&amp;Legislations[مؤشرات الأداء]
),
_xlpm.specialTitle,Special[اسم المشروع],
_xlpm.specialData,_xlfn.HSTACK(
IF(_xlpm.specialTitle&lt;&gt;"","المشاريع الخاصة",""),
_xlpm.txt(_xlpm.specialTitle)&amp;_xlpm.add(Special[مشاريع سموه]),
_xlpm.progress(Special[مستوى الإنجاز],Special[نسبة الإنجاز]),
TRIM(
_xlpm.txt(Special[انتهاء المشروع (الشهر)])&amp;" "&amp;
_xlpm.txt(Special[انتهاء المشروع (السنة)])),
_xlpm.owner(Special[مدير المشروع]),
_xlpm.org(Special[الجهة المعنية],Special[[الإدارة ]],Special[القطاع]),
_xlpm.txt(Special[المنجز للآن])&amp;
_xlpm.add(Special[المخطط في المرحلة المقبلة])&amp;
_xlpm.add(Special[ملاحظات مدير المشروع])&amp;
_xlpm.add(Special[توصيات إدارة الأداء والتنفيذ]),
_xlpm.txt(_xlpm.specialTitle),
"Special Projects "&amp;Special[نبذة حول المشروع]
),
_xlpm.projectTitle,Projects[اسم المشروع],
_xlpm.projectData,_xlfn.HSTACK(
IF(_xlpm.projectTitle&lt;&gt;"","مشاريع بموازنة إستراتيجية",""),
_xlpm.txt(_xlpm.projectTitle)&amp;_xlpm.add(Projects['#])&amp;_xlpm.add(Projects[نوع]),
_xlpm.progress(Projects[مستوى الإنجاز],Projects[نسبة الإنجاز]),
_xlpm.dt(Projects[انتهاء المشروع]),
_xlpm.owner(Projects[مدير المشروع]),
_xlpm.org("",Projects[[الإدارة ]],Projects[القطاع]),
_xlpm.txt(Projects[أولوية])&amp;
_xlpm.add(Projects[ملاحظات مدير المشروع])&amp;
IF(Projects[الموازنة المعتمدة الجديدة]&lt;&gt;"",
_xlpm.add(_xlpm.num(Projects[الموازنة المعتمدة الجديدة])),
_xlpm.add(_xlpm.num(Projects[الموازنة المعتمدة])))&amp;
_xlpm.add(_xlpm.num(Projects[المخصص]))&amp;
_xlpm.add(_xlpm.num(Projects[المنفق الفعلي]))&amp;
_xlpm.add(Projects[ملاحظات المالية]),
_xlpm.txt(_xlpm.projectTitle),
"Corporate Projects Budget Projects "&amp;Projects[نبذة حول المشروع]
),
_xlpm.valOne,_xlpm.measured(
Strategy[البسط Q1],
Strategy[المقام Q1],
Strategy[نتيجة Q1]),
_xlpm.valTwo,_xlpm.measured(
Strategy[البسط Q2],
Strategy[المقام Q2],
Strategy[نتيجة Q2]),
_xlpm.valThree,_xlpm.measured(
Strategy[البسط Q3],
Strategy[المقام Q3],
Strategy[نتيجة Q3]),
_xlpm.valFour,_xlpm.measured(
Strategy[البسط Q4],
Strategy[المقام Q4],
Strategy[نتيجة Q4]),
_xlpm.periods,TRIM(
IF(_xlpm.valOne&lt;&gt;"","Q1 ","")&amp;
IF(_xlpm.valTwo&lt;&gt;"","Q2 ","")&amp;
IF(_xlpm.valThree&lt;&gt;"","Q3 ","")&amp;
IF(_xlpm.valFour&lt;&gt;"","Q4","")),
_xlpm.annualResult,Strategy[[نتيجة العام ]],
_xlpm.annualActual,IF((_xlpm.periods="")+(_xlpm.annualResult=""),"—",_xlpm.pct(_xlpm.annualResult)),
_xlpm.annualTarget,IF(Strategy[المستهدف للعام]="","—",
_xlpm.pct(Strategy[المستهدف للعام])),
_xlpm.kpiTitle,Strategy[المؤشر],
_xlpm.kpiData,_xlfn.HSTACK(
IF(_xlpm.kpiTitle&lt;&gt;"","المؤشرات",""),
_xlpm.txt(_xlpm.kpiTitle)&amp;_xlpm.add(Strategy[الهدف الاستراتيجي]),
IF(_xlpm.periods="","لم يقس بعد","تتوفر نتائج قياس"),
_xlpm.txt(Strategy[دورية القياس])&amp;_xlpm.add(_xlpm.periods),
_xlpm.owner(Strategy[ملاك الهدف]),
_xlpm.org("",Strategy[الإدارة],Strategy[القطاع]),
_xlpm.annualActual&amp;" / "&amp;_xlpm.annualTarget&amp;
_xlpm.add(IF(_xlpm.valOne="","","Q1 "&amp;_xlpm.valOne))&amp;
_xlpm.add(IF(_xlpm.valTwo="","","Q2 "&amp;_xlpm.valTwo))&amp;
_xlpm.add(IF(_xlpm.valThree="","","Q3 "&amp;_xlpm.valThree))&amp;
_xlpm.add(IF(_xlpm.valFour="","","Q4 "&amp;_xlpm.valFour))&amp;
_xlpm.add(Strategy[ملاحظات]),
_xlpm.txt(_xlpm.kpiTitle),
"Indicators KPIs "&amp;Strategy[الأهداف التشغيلية]
),
_xlpm.allData,_xlfn.VSTACK(
_xlpm.agendaData,
_xlpm.decisionData,
_xlpm.legislationData,
_xlpm.specialData,
_xlpm.projectData,
_xlpm.kpiData
),
_xlpm.rawVisible,_xlfn.CHOOSECOLS(_xlpm.allData,1,2,3,4,5,6,7),
_xlpm.visibleData,IF(
LEFT(_xlpm.rawVisible,1)=_xlpm.nl,
MID(_xlpm.rawVisible,2,32767),
_xlpm.rawVisible
),
_xlpm.itemName,_xlfn.CHOOSECOLS(_xlpm.allData,8),
_xlpm.searchData,_xlfn.BYROW(
_xlpm.allData,
_xlfn.LAMBDA(_xlpm.rowData,_xlfn.TEXTJOIN(" ",TRUE,_xlpm.rowData))
),
_xlpm.needle,SUBSTITUTE(
SUBSTITUTE(
SUBSTITUTE(_xlpm.q,"~","~~"),
"*","~*"),
"?","~?"),
_xlpm.headers,_xlfn.HSTACK(
"المصدر",
"الموضوع / المشروع",
"الحالة",
"الموعد",
"المسؤول",
"الجهة / الوحدة",
"آخر مستجد / الخطوة المقبلة"
),
_xlfn.VSTACK(
_xlpm.headers,
_xlfn._xlws.FILTER(
_xlpm.visibleData,
(_xlpm.itemName&lt;&gt;"")*
IF(
OR(_xlpm.q="all",_xlpm.q="الكل"),
TRUE,
ISNUMBER(SEARCH(_xlpm.needle,_xlpm.searchData))
),
_xlfn.HSTACK("No matching results","","","","","","")
)
)
))</f>
        <v/>
      </c>
    </row>
  </sheetData>
  <mergeCells count="1">
    <mergeCell ref="F2:F7"/>
  </mergeCells>
  <conditionalFormatting sqref="B11:K11">
    <cfRule type="notContainsBlanks" priority="5" dxfId="21">
      <formula>LEN(TRIM(B11))&gt;0</formula>
    </cfRule>
  </conditionalFormatting>
  <conditionalFormatting sqref="B12:L1000">
    <cfRule type="notContainsBlanks" priority="4" dxfId="20">
      <formula>LEN(TRIM(B12))&gt;0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tabColor theme="9" tint="-0.249977111117893"/>
    <outlinePr summaryBelow="1" summaryRight="1"/>
    <pageSetUpPr autoPageBreaks="0"/>
  </sheetPr>
  <dimension ref="A1:CJ45"/>
  <sheetViews>
    <sheetView showGridLines="0" rightToLeft="1" tabSelected="1" topLeftCell="B1" zoomScale="110" zoomScaleNormal="110" zoomScalePageLayoutView="88" workbookViewId="0">
      <pane ySplit="7" topLeftCell="A8" activePane="bottomLeft" state="frozen"/>
      <selection pane="bottomLeft" activeCell="CM18" sqref="CM18"/>
    </sheetView>
  </sheetViews>
  <sheetFormatPr baseColWidth="8" defaultColWidth="2.42578125" defaultRowHeight="19.15" customHeight="1" outlineLevelRow="1"/>
  <cols>
    <col width="1.7109375" customWidth="1" style="2" min="1" max="1"/>
    <col width="2.42578125" customWidth="1" style="2" min="2" max="86"/>
    <col width="1.7109375" customWidth="1" style="2" min="87" max="87"/>
    <col width="2.42578125" customWidth="1" style="2" min="88" max="105"/>
    <col width="2.42578125" customWidth="1" style="2" min="106" max="107"/>
    <col width="2.42578125" customWidth="1" style="2" min="108" max="16384"/>
  </cols>
  <sheetData>
    <row r="1" ht="9" customHeight="1">
      <c r="A1" s="37" t="n"/>
      <c r="B1" s="37" t="n"/>
      <c r="C1" s="37" t="n"/>
      <c r="D1" s="37" t="n"/>
      <c r="E1" s="37" t="n"/>
      <c r="F1" s="37" t="n"/>
      <c r="G1" s="37" t="n"/>
      <c r="H1" s="37" t="n"/>
      <c r="I1" s="37" t="n"/>
      <c r="J1" s="37" t="n"/>
      <c r="K1" s="37" t="n"/>
      <c r="L1" s="37" t="n"/>
      <c r="M1" s="37" t="n"/>
      <c r="N1" s="37" t="n"/>
      <c r="O1" s="37" t="n"/>
      <c r="P1" s="37" t="n"/>
      <c r="Q1" s="37" t="n"/>
      <c r="R1" s="37" t="n"/>
      <c r="S1" s="37" t="n"/>
      <c r="T1" s="37" t="n"/>
      <c r="U1" s="37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  <c r="AP1" s="37" t="n"/>
      <c r="AQ1" s="37" t="n"/>
      <c r="AR1" s="37" t="n"/>
      <c r="AS1" s="37" t="n"/>
      <c r="AT1" s="37" t="n"/>
      <c r="AU1" s="37" t="n"/>
      <c r="AV1" s="37" t="n"/>
      <c r="AW1" s="37" t="n"/>
      <c r="AX1" s="37" t="n"/>
      <c r="AY1" s="37" t="n"/>
      <c r="AZ1" s="37" t="n"/>
      <c r="BA1" s="37" t="n"/>
      <c r="BB1" s="37" t="n"/>
      <c r="BC1" s="37" t="n"/>
      <c r="BD1" s="37" t="n"/>
      <c r="BE1" s="37" t="n"/>
      <c r="BF1" s="37" t="n"/>
      <c r="BG1" s="37" t="n"/>
      <c r="BH1" s="37" t="n"/>
      <c r="BI1" s="37" t="n"/>
      <c r="BJ1" s="37" t="n"/>
      <c r="BK1" s="37" t="n"/>
      <c r="BL1" s="37" t="n"/>
      <c r="BM1" s="37" t="n"/>
      <c r="BN1" s="37" t="n"/>
      <c r="BO1" s="37" t="n"/>
      <c r="BP1" s="37" t="n"/>
      <c r="BQ1" s="37" t="n"/>
      <c r="BR1" s="37" t="n"/>
      <c r="BS1" s="37" t="n"/>
      <c r="BT1" s="37" t="n"/>
      <c r="BU1" s="37" t="n"/>
      <c r="BV1" s="37" t="n"/>
      <c r="BW1" s="37" t="n"/>
      <c r="BX1" s="37" t="n"/>
      <c r="BY1" s="37" t="n"/>
      <c r="BZ1" s="37" t="n"/>
      <c r="CA1" s="37" t="n"/>
      <c r="CB1" s="37" t="n"/>
      <c r="CC1" s="37" t="n"/>
      <c r="CD1" s="37" t="n"/>
      <c r="CE1" s="37" t="n"/>
      <c r="CF1" s="37" t="n"/>
      <c r="CG1" s="37" t="n"/>
      <c r="CH1" s="37" t="n"/>
      <c r="CI1" s="37" t="n"/>
      <c r="CJ1" s="37" t="n"/>
    </row>
    <row r="2" ht="19.15" customHeight="1">
      <c r="B2" s="133">
        <f>"التقرير الشهري للأداء والتنفيذ - حتى تاريخ "&amp;TEXT(Logic!B1,"dd/mm/yyyy")</f>
        <v/>
      </c>
      <c r="AY2" s="231">
        <f>IF(BY4 &gt;BO4,1,"")</f>
        <v/>
      </c>
      <c r="AZ2" s="232" t="inlineStr">
        <is>
          <t>استراتيجية الأمانة العامة</t>
        </is>
      </c>
      <c r="BA2" s="233" t="n"/>
      <c r="BB2" s="233" t="n"/>
      <c r="BC2" s="233" t="n"/>
      <c r="BD2" s="233" t="n"/>
      <c r="BE2" s="122" t="inlineStr">
        <is>
          <t>الإجمالي / المؤشرات المقاسة</t>
        </is>
      </c>
      <c r="BF2" s="233" t="n"/>
      <c r="BG2" s="233" t="n"/>
      <c r="BH2" s="233" t="n"/>
      <c r="BI2" s="233" t="n"/>
      <c r="BJ2" s="233" t="n"/>
      <c r="BK2" s="233" t="n"/>
      <c r="BL2" s="233" t="n"/>
      <c r="BM2" s="233" t="n"/>
      <c r="BN2" s="233" t="n"/>
      <c r="BO2" s="122" t="inlineStr">
        <is>
          <t>متوسط النتائج المقاسة</t>
        </is>
      </c>
      <c r="BP2" s="233" t="n"/>
      <c r="BQ2" s="233" t="n"/>
      <c r="BR2" s="233" t="n"/>
      <c r="BS2" s="233" t="n"/>
      <c r="BT2" s="233" t="n"/>
      <c r="BU2" s="233" t="n"/>
      <c r="BV2" s="233" t="n"/>
      <c r="BW2" s="233" t="n"/>
      <c r="BX2" s="233" t="n"/>
      <c r="BY2" s="124" t="inlineStr">
        <is>
          <t>متوسط المستهدفات المعتمدة</t>
        </is>
      </c>
      <c r="BZ2" s="233" t="n"/>
      <c r="CA2" s="233" t="n"/>
      <c r="CB2" s="233" t="n"/>
      <c r="CC2" s="233" t="n"/>
      <c r="CD2" s="233" t="n"/>
      <c r="CE2" s="233" t="n"/>
      <c r="CF2" s="233" t="n"/>
      <c r="CG2" s="233" t="n"/>
      <c r="CH2" s="234" t="n"/>
      <c r="CI2" s="37" t="n"/>
    </row>
    <row r="3" ht="19.15" customHeight="1">
      <c r="AY3" s="235" t="n"/>
      <c r="AZ3" s="236" t="n"/>
      <c r="CH3" s="237" t="n"/>
      <c r="CI3" s="37" t="n"/>
    </row>
    <row r="4" ht="19.15" customHeight="1">
      <c r="AY4" s="235" t="n"/>
      <c r="AZ4" s="236" t="n"/>
      <c r="BE4" s="127">
        <f>IF(Logic!AQ3="","-",Logic!AQ3)</f>
        <v/>
      </c>
      <c r="BO4" s="128">
        <f>IF(Logic!AR3="","-",Logic!AR3)</f>
        <v/>
      </c>
      <c r="BY4" s="129">
        <f>IF(Logic!AS3="","-",Logic!AS3)</f>
        <v/>
      </c>
      <c r="CH4" s="237" t="n"/>
      <c r="CI4" s="37" t="n"/>
    </row>
    <row r="5" ht="19.15" customHeight="1">
      <c r="B5" s="57" t="inlineStr">
        <is>
          <t>القطاع</t>
        </is>
      </c>
      <c r="D5" s="37" t="n"/>
      <c r="E5" s="37" t="n"/>
      <c r="F5" s="37" t="n"/>
      <c r="G5" s="37" t="n"/>
      <c r="H5" s="37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W5" s="37" t="n"/>
      <c r="X5" s="57" t="inlineStr">
        <is>
          <t>الوحدة التنظيمية</t>
        </is>
      </c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  <c r="AP5" s="37" t="n"/>
      <c r="AQ5" s="37" t="n"/>
      <c r="AR5" s="37" t="n"/>
      <c r="AY5" s="235" t="n"/>
      <c r="AZ5" s="236" t="n"/>
      <c r="CH5" s="237" t="n"/>
      <c r="CI5" s="37" t="n"/>
    </row>
    <row r="6" ht="19.15" customHeight="1">
      <c r="B6" s="130" t="n"/>
      <c r="X6" s="130" t="n"/>
      <c r="AR6" s="56" t="n"/>
      <c r="AY6" s="238" t="n"/>
      <c r="AZ6" s="239" t="n"/>
      <c r="BA6" s="240" t="n"/>
      <c r="BB6" s="240" t="n"/>
      <c r="BC6" s="240" t="n"/>
      <c r="BD6" s="240" t="n"/>
      <c r="BE6" s="126">
        <f>IFERROR(IF(Logic!AX4="","",Logic!AX4),"")</f>
        <v/>
      </c>
      <c r="BF6" s="240" t="n"/>
      <c r="BG6" s="240" t="n"/>
      <c r="BH6" s="240" t="n"/>
      <c r="BI6" s="240" t="n"/>
      <c r="BJ6" s="240" t="n"/>
      <c r="BK6" s="240" t="n"/>
      <c r="BL6" s="240" t="n"/>
      <c r="BM6" s="240" t="n"/>
      <c r="BN6" s="240" t="n"/>
      <c r="BO6" s="126">
        <f>IFERROR(IF(Logic!AY4="","",Logic!AY4),"")</f>
        <v/>
      </c>
      <c r="BP6" s="240" t="n"/>
      <c r="BQ6" s="240" t="n"/>
      <c r="BR6" s="240" t="n"/>
      <c r="BS6" s="240" t="n"/>
      <c r="BT6" s="240" t="n"/>
      <c r="BU6" s="240" t="n"/>
      <c r="BV6" s="240" t="n"/>
      <c r="BW6" s="240" t="n"/>
      <c r="BX6" s="240" t="n"/>
      <c r="BY6" s="25" t="n"/>
      <c r="BZ6" s="25" t="n"/>
      <c r="CA6" s="25" t="n"/>
      <c r="CB6" s="25" t="n"/>
      <c r="CC6" s="25" t="n"/>
      <c r="CD6" s="25" t="n"/>
      <c r="CE6" s="25" t="n"/>
      <c r="CF6" s="25" t="n"/>
      <c r="CG6" s="25" t="n"/>
      <c r="CH6" s="34" t="n"/>
    </row>
    <row r="7" ht="9" customHeight="1"/>
    <row r="8" ht="19.15" customHeight="1">
      <c r="B8" s="241" t="inlineStr">
        <is>
          <t>محافظ المتابعة التنفيذية</t>
        </is>
      </c>
      <c r="C8" s="233" t="n"/>
      <c r="D8" s="233" t="n"/>
      <c r="E8" s="233" t="n"/>
      <c r="F8" s="233" t="n"/>
      <c r="G8" s="233" t="n"/>
      <c r="H8" s="233" t="n"/>
      <c r="I8" s="233" t="n"/>
      <c r="J8" s="233" t="n"/>
      <c r="K8" s="233" t="n"/>
      <c r="L8" s="233" t="n"/>
      <c r="M8" s="233" t="n"/>
      <c r="N8" s="233" t="n"/>
      <c r="O8" s="233" t="n"/>
      <c r="P8" s="233" t="n"/>
      <c r="Q8" s="233" t="n"/>
      <c r="R8" s="233" t="n"/>
      <c r="S8" s="233" t="n"/>
      <c r="T8" s="233" t="n"/>
      <c r="U8" s="233" t="n"/>
      <c r="V8" s="233" t="n"/>
      <c r="W8" s="233" t="n"/>
      <c r="X8" s="233" t="n"/>
      <c r="Y8" s="233" t="n"/>
      <c r="Z8" s="233" t="n"/>
      <c r="AA8" s="233" t="n"/>
      <c r="AB8" s="233" t="n"/>
      <c r="AC8" s="233" t="n"/>
      <c r="AD8" s="233" t="n"/>
      <c r="AE8" s="233" t="n"/>
      <c r="AF8" s="233" t="n"/>
      <c r="AG8" s="233" t="n"/>
      <c r="AH8" s="233" t="n"/>
      <c r="AI8" s="233" t="n"/>
      <c r="AJ8" s="233" t="n"/>
      <c r="AK8" s="233" t="n"/>
      <c r="AL8" s="233" t="n"/>
      <c r="AM8" s="233" t="n"/>
      <c r="AN8" s="233" t="n"/>
      <c r="AO8" s="233" t="n"/>
      <c r="AP8" s="233" t="n"/>
      <c r="AQ8" s="234" t="n"/>
      <c r="AS8" s="242" t="inlineStr">
        <is>
          <t>محفظة المشاريع</t>
        </is>
      </c>
      <c r="AT8" s="233" t="n"/>
      <c r="AU8" s="233" t="n"/>
      <c r="AV8" s="233" t="n"/>
      <c r="AW8" s="233" t="n"/>
      <c r="AX8" s="233" t="n"/>
      <c r="AY8" s="233" t="n"/>
      <c r="AZ8" s="233" t="n"/>
      <c r="BA8" s="233" t="n"/>
      <c r="BB8" s="233" t="n"/>
      <c r="BC8" s="233" t="n"/>
      <c r="BD8" s="233" t="n"/>
      <c r="BE8" s="233" t="n"/>
      <c r="BF8" s="233" t="n"/>
      <c r="BG8" s="233" t="n"/>
      <c r="BH8" s="233" t="n"/>
      <c r="BI8" s="233" t="n"/>
      <c r="BJ8" s="233" t="n"/>
      <c r="BK8" s="233" t="n"/>
      <c r="BL8" s="233" t="n"/>
      <c r="BM8" s="233" t="n"/>
      <c r="BN8" s="233" t="n"/>
      <c r="BO8" s="233" t="n"/>
      <c r="BP8" s="233" t="n"/>
      <c r="BQ8" s="233" t="n"/>
      <c r="BR8" s="233" t="n"/>
      <c r="BS8" s="233" t="n"/>
      <c r="BT8" s="233" t="n"/>
      <c r="BU8" s="233" t="n"/>
      <c r="BV8" s="233" t="n"/>
      <c r="BW8" s="233" t="n"/>
      <c r="BX8" s="233" t="n"/>
      <c r="BY8" s="233" t="n"/>
      <c r="BZ8" s="233" t="n"/>
      <c r="CA8" s="233" t="n"/>
      <c r="CB8" s="233" t="n"/>
      <c r="CC8" s="233" t="n"/>
      <c r="CD8" s="233" t="n"/>
      <c r="CE8" s="233" t="n"/>
      <c r="CF8" s="233" t="n"/>
      <c r="CG8" s="233" t="n"/>
      <c r="CH8" s="234" t="n"/>
    </row>
    <row r="9" ht="19.15" customHeight="1">
      <c r="B9" s="239" t="n"/>
      <c r="C9" s="240" t="n"/>
      <c r="D9" s="240" t="n"/>
      <c r="E9" s="240" t="n"/>
      <c r="F9" s="240" t="n"/>
      <c r="G9" s="240" t="n"/>
      <c r="H9" s="240" t="n"/>
      <c r="I9" s="240" t="n"/>
      <c r="J9" s="240" t="n"/>
      <c r="K9" s="240" t="n"/>
      <c r="L9" s="240" t="n"/>
      <c r="M9" s="240" t="n"/>
      <c r="N9" s="240" t="n"/>
      <c r="O9" s="240" t="n"/>
      <c r="P9" s="240" t="n"/>
      <c r="Q9" s="240" t="n"/>
      <c r="R9" s="240" t="n"/>
      <c r="S9" s="240" t="n"/>
      <c r="T9" s="240" t="n"/>
      <c r="U9" s="240" t="n"/>
      <c r="V9" s="240" t="n"/>
      <c r="W9" s="240" t="n"/>
      <c r="X9" s="240" t="n"/>
      <c r="Y9" s="240" t="n"/>
      <c r="Z9" s="240" t="n"/>
      <c r="AA9" s="240" t="n"/>
      <c r="AB9" s="240" t="n"/>
      <c r="AC9" s="240" t="n"/>
      <c r="AD9" s="240" t="n"/>
      <c r="AE9" s="240" t="n"/>
      <c r="AF9" s="240" t="n"/>
      <c r="AG9" s="240" t="n"/>
      <c r="AH9" s="240" t="n"/>
      <c r="AI9" s="240" t="n"/>
      <c r="AJ9" s="240" t="n"/>
      <c r="AK9" s="240" t="n"/>
      <c r="AL9" s="240" t="n"/>
      <c r="AM9" s="240" t="n"/>
      <c r="AN9" s="240" t="n"/>
      <c r="AO9" s="240" t="n"/>
      <c r="AP9" s="240" t="n"/>
      <c r="AQ9" s="243" t="n"/>
      <c r="AR9" s="37" t="n"/>
      <c r="AS9" s="236" t="n"/>
      <c r="CH9" s="237" t="n"/>
      <c r="CI9" s="58" t="n"/>
    </row>
    <row r="10" ht="19.35" customHeight="1">
      <c r="B10" s="35" t="n"/>
      <c r="C10" s="59" t="n"/>
      <c r="D10" s="59" t="n"/>
      <c r="E10" s="59" t="n"/>
      <c r="F10" s="59" t="n"/>
      <c r="G10" s="59" t="n"/>
      <c r="H10" s="59" t="n"/>
      <c r="I10" s="59" t="n"/>
      <c r="J10" s="59" t="n"/>
      <c r="K10" s="59" t="n"/>
      <c r="L10" s="59" t="n"/>
      <c r="M10" s="59" t="n"/>
      <c r="N10" s="59" t="n"/>
      <c r="O10" s="59" t="n"/>
      <c r="P10" s="59" t="n"/>
      <c r="Q10" s="59" t="n"/>
      <c r="R10" s="59" t="n"/>
      <c r="S10" s="59" t="n"/>
      <c r="T10" s="59" t="n"/>
      <c r="U10" s="59" t="n"/>
      <c r="V10" s="59" t="n"/>
      <c r="W10" s="59" t="n"/>
      <c r="X10" s="59" t="n"/>
      <c r="Y10" s="59" t="n"/>
      <c r="Z10" s="59" t="n"/>
      <c r="AA10" s="59" t="n"/>
      <c r="AB10" s="59" t="n"/>
      <c r="AC10" s="59" t="n"/>
      <c r="AD10" s="59" t="n"/>
      <c r="AE10" s="59" t="n"/>
      <c r="AF10" s="59" t="n"/>
      <c r="AG10" s="59" t="n"/>
      <c r="AH10" s="59" t="n"/>
      <c r="AI10" s="59" t="n"/>
      <c r="AJ10" s="59" t="n"/>
      <c r="AK10" s="59" t="n"/>
      <c r="AL10" s="59" t="n"/>
      <c r="AM10" s="59" t="n"/>
      <c r="AN10" s="59" t="n"/>
      <c r="AO10" s="59" t="n"/>
      <c r="AP10" s="59" t="n"/>
      <c r="AQ10" s="36" t="n"/>
      <c r="AR10" s="37" t="n"/>
      <c r="AS10" s="27" t="n"/>
      <c r="AU10" s="215" t="inlineStr">
        <is>
          <t>المشاريع الخاصة</t>
        </is>
      </c>
      <c r="BK10" s="78" t="n"/>
      <c r="BL10" s="78" t="n"/>
      <c r="BM10" s="78" t="n"/>
      <c r="BN10" s="78" t="n"/>
      <c r="BO10" s="78" t="n"/>
      <c r="BP10" s="78" t="n"/>
      <c r="BQ10" s="78" t="n"/>
      <c r="BR10" s="78" t="n"/>
      <c r="BS10" s="78" t="n"/>
      <c r="BT10" s="78" t="n"/>
      <c r="BU10" s="78" t="n"/>
      <c r="BV10" s="78" t="n"/>
      <c r="BW10" s="78" t="n"/>
      <c r="BX10" s="78" t="n"/>
      <c r="BY10" s="78" t="n"/>
      <c r="BZ10" s="78" t="n"/>
      <c r="CA10" s="78" t="n"/>
      <c r="CB10" s="78" t="n"/>
      <c r="CC10" s="78" t="n"/>
      <c r="CD10" s="78" t="n"/>
      <c r="CE10" s="78" t="n"/>
      <c r="CF10" s="78" t="n"/>
      <c r="CG10" s="78" t="n"/>
      <c r="CH10" s="21" t="n"/>
      <c r="CI10" s="58" t="n"/>
    </row>
    <row r="11" ht="19.15" customHeight="1">
      <c r="B11" s="27" t="n"/>
      <c r="C11" s="231">
        <f>IF(Performance!W13=0,"",1)</f>
        <v/>
      </c>
      <c r="D11" s="161" t="inlineStr">
        <is>
          <t>الأجندة السنوية</t>
        </is>
      </c>
      <c r="E11" s="233" t="n"/>
      <c r="F11" s="233" t="n"/>
      <c r="G11" s="233" t="n"/>
      <c r="H11" s="233" t="n"/>
      <c r="I11" s="233" t="n"/>
      <c r="J11" s="233" t="n"/>
      <c r="K11" s="110" t="inlineStr">
        <is>
          <t>المجموع</t>
        </is>
      </c>
      <c r="L11" s="233" t="n"/>
      <c r="M11" s="233" t="n"/>
      <c r="N11" s="233" t="n"/>
      <c r="O11" s="233" t="n"/>
      <c r="P11" s="244">
        <f>IFERROR(IF(Logic!BZ4="","",Logic!BZ4),"")</f>
        <v/>
      </c>
      <c r="Q11" s="233" t="n"/>
      <c r="R11" s="233" t="n"/>
      <c r="S11" s="233" t="n"/>
      <c r="T11" s="233" t="n"/>
      <c r="U11" s="32" t="n"/>
      <c r="V11" s="32" t="n"/>
      <c r="W11" s="175" t="inlineStr">
        <is>
          <t>متأخر</t>
        </is>
      </c>
      <c r="X11" s="233" t="n"/>
      <c r="Y11" s="233" t="n"/>
      <c r="Z11" s="233" t="n"/>
      <c r="AA11" s="233" t="n"/>
      <c r="AB11" s="143" t="inlineStr">
        <is>
          <t>منجز</t>
        </is>
      </c>
      <c r="AC11" s="233" t="n"/>
      <c r="AD11" s="233" t="n"/>
      <c r="AE11" s="233" t="n"/>
      <c r="AF11" s="233" t="n"/>
      <c r="AG11" s="204" t="inlineStr">
        <is>
          <t>جاهز للعرض</t>
        </is>
      </c>
      <c r="AH11" s="233" t="n"/>
      <c r="AI11" s="233" t="n"/>
      <c r="AJ11" s="233" t="n"/>
      <c r="AK11" s="233" t="n"/>
      <c r="AL11" s="113" t="inlineStr">
        <is>
          <t>قيد العمل</t>
        </is>
      </c>
      <c r="AM11" s="233" t="n"/>
      <c r="AN11" s="233" t="n"/>
      <c r="AO11" s="233" t="n"/>
      <c r="AP11" s="234" t="n"/>
      <c r="AQ11" s="21" t="n"/>
      <c r="AS11" s="27" t="n"/>
      <c r="AT11" s="78" t="n"/>
      <c r="BK11" s="223">
        <f>IF(AU14&lt;&gt;SUM(AZ14,BR14), "نقص في البيانات", "")</f>
        <v/>
      </c>
      <c r="BR11" s="78" t="n"/>
      <c r="BS11" s="78" t="n"/>
      <c r="BT11" s="78" t="n"/>
      <c r="BU11" s="78" t="n"/>
      <c r="BV11" s="78" t="n"/>
      <c r="BW11" s="78" t="n"/>
      <c r="BX11" s="78" t="n"/>
      <c r="CF11" s="78" t="n"/>
      <c r="CG11" s="78" t="n"/>
      <c r="CH11" s="28" t="n"/>
      <c r="CI11" s="60" t="n"/>
    </row>
    <row r="12" ht="19.15" customHeight="1">
      <c r="B12" s="27" t="n"/>
      <c r="C12" s="235" t="n"/>
      <c r="D12" s="236" t="n"/>
      <c r="P12" s="245">
        <f>IF(Logic!E3="","",Logic!E3)</f>
        <v/>
      </c>
      <c r="U12" s="95" t="n"/>
      <c r="V12" s="33" t="n"/>
      <c r="AP12" s="237" t="n"/>
      <c r="AQ12" s="21" t="n"/>
      <c r="AS12" s="27" t="n"/>
      <c r="AT12" s="231">
        <f>IF(SUM(BD14,BV14)&gt;0,1,"")</f>
        <v/>
      </c>
      <c r="AU12" s="183" t="inlineStr">
        <is>
          <t>المجموع</t>
        </is>
      </c>
      <c r="AV12" s="233" t="n"/>
      <c r="AW12" s="233" t="n"/>
      <c r="AX12" s="233" t="n"/>
      <c r="AY12" s="233" t="n"/>
      <c r="AZ12" s="146" t="inlineStr">
        <is>
          <t>للقيادة</t>
        </is>
      </c>
      <c r="BA12" s="233" t="n"/>
      <c r="BB12" s="233" t="n"/>
      <c r="BC12" s="233" t="n"/>
      <c r="BD12" s="175" t="inlineStr">
        <is>
          <t>متأخر</t>
        </is>
      </c>
      <c r="BE12" s="233" t="n"/>
      <c r="BF12" s="233" t="n"/>
      <c r="BG12" s="233" t="n"/>
      <c r="BH12" s="143" t="inlineStr">
        <is>
          <t>منجز</t>
        </is>
      </c>
      <c r="BI12" s="233" t="n"/>
      <c r="BJ12" s="233" t="n"/>
      <c r="BK12" s="233" t="n"/>
      <c r="BL12" s="112" t="inlineStr">
        <is>
          <t>قيد العمل</t>
        </is>
      </c>
      <c r="BM12" s="233" t="n"/>
      <c r="BN12" s="233" t="n"/>
      <c r="BO12" s="233" t="n"/>
      <c r="BP12" s="32" t="n"/>
      <c r="BQ12" s="32" t="n"/>
      <c r="BR12" s="225" t="inlineStr">
        <is>
          <t>للأمانة العامة</t>
        </is>
      </c>
      <c r="BS12" s="233" t="n"/>
      <c r="BT12" s="233" t="n"/>
      <c r="BU12" s="233" t="n"/>
      <c r="BV12" s="175" t="inlineStr">
        <is>
          <t>متأخر</t>
        </is>
      </c>
      <c r="BW12" s="233" t="n"/>
      <c r="BX12" s="233" t="n"/>
      <c r="BY12" s="233" t="n"/>
      <c r="BZ12" s="143" t="inlineStr">
        <is>
          <t>منجز</t>
        </is>
      </c>
      <c r="CA12" s="233" t="n"/>
      <c r="CB12" s="233" t="n"/>
      <c r="CC12" s="233" t="n"/>
      <c r="CD12" s="113" t="inlineStr">
        <is>
          <t>قيد العمل</t>
        </is>
      </c>
      <c r="CE12" s="233" t="n"/>
      <c r="CF12" s="233" t="n"/>
      <c r="CG12" s="234" t="n"/>
      <c r="CH12" s="28" t="n"/>
      <c r="CI12" s="60" t="n"/>
    </row>
    <row r="13" ht="19.15" customHeight="1">
      <c r="B13" s="27" t="n"/>
      <c r="C13" s="235" t="n"/>
      <c r="D13" s="236" t="n"/>
      <c r="K13" s="246">
        <f>IF(Logic!D3="","",Logic!D3)</f>
        <v/>
      </c>
      <c r="P13" s="131" t="inlineStr">
        <is>
          <t>من الأجندة</t>
        </is>
      </c>
      <c r="U13" s="96" t="n"/>
      <c r="V13" s="26" t="n"/>
      <c r="W13" s="247">
        <f>IF(Logic!J3="","",Logic!J3)</f>
        <v/>
      </c>
      <c r="AB13" s="248">
        <f>IF(Logic!I3="","",Logic!I3)</f>
        <v/>
      </c>
      <c r="AG13" s="249">
        <f>IF(Logic!G3="","",Logic!G3)</f>
        <v/>
      </c>
      <c r="AL13" s="250">
        <f>IF(Logic!H3="","",Logic!H3)</f>
        <v/>
      </c>
      <c r="AP13" s="237" t="n"/>
      <c r="AQ13" s="21" t="n"/>
      <c r="AS13" s="27" t="n"/>
      <c r="AT13" s="235" t="n"/>
      <c r="AU13" s="236" t="n"/>
      <c r="BP13" s="95" t="n"/>
      <c r="BQ13" s="33" t="n"/>
      <c r="CG13" s="237" t="n"/>
      <c r="CH13" s="28" t="n"/>
      <c r="CI13" s="60" t="n"/>
    </row>
    <row r="14" ht="19.15" customHeight="1">
      <c r="B14" s="27" t="n"/>
      <c r="C14" s="235" t="n"/>
      <c r="D14" s="236" t="n"/>
      <c r="P14" s="131" t="inlineStr">
        <is>
          <t>ما يستجد</t>
        </is>
      </c>
      <c r="U14" s="96" t="n"/>
      <c r="V14" s="26" t="n"/>
      <c r="AP14" s="237" t="n"/>
      <c r="AQ14" s="21" t="n"/>
      <c r="AS14" s="27" t="n"/>
      <c r="AT14" s="235" t="n"/>
      <c r="AU14" s="251">
        <f>IF(Logic!Y3="","",Logic!Y3)</f>
        <v/>
      </c>
      <c r="AZ14" s="252">
        <f>IF(Logic!Z3="","",Logic!Z3)</f>
        <v/>
      </c>
      <c r="BD14" s="247">
        <f>IF(Logic!AB3="","",Logic!AB3)</f>
        <v/>
      </c>
      <c r="BH14" s="248">
        <f>IF(Logic!AA3="","",Logic!AA3)</f>
        <v/>
      </c>
      <c r="BL14" s="253">
        <f>AZ14-SUM(BD14:BK17)</f>
        <v/>
      </c>
      <c r="BP14" s="96" t="n"/>
      <c r="BQ14" s="26" t="n"/>
      <c r="BR14" s="252">
        <f>IF(Logic!AC3="","",Logic!AC3)</f>
        <v/>
      </c>
      <c r="BV14" s="247">
        <f>IF(Logic!AE3="","",Logic!AE3)</f>
        <v/>
      </c>
      <c r="BZ14" s="248">
        <f>IF(Logic!AD3="","",Logic!AD3)</f>
        <v/>
      </c>
      <c r="CD14" s="250">
        <f>BR14-SUM(BV14:CC17)</f>
        <v/>
      </c>
      <c r="CG14" s="237" t="n"/>
      <c r="CH14" s="28" t="n"/>
      <c r="CI14" s="60" t="n"/>
    </row>
    <row r="15" ht="19.15" customHeight="1">
      <c r="B15" s="27" t="n"/>
      <c r="C15" s="235" t="n"/>
      <c r="D15" s="236" t="n"/>
      <c r="P15" s="245">
        <f>IF(Logic!F3="","",Logic!F3)</f>
        <v/>
      </c>
      <c r="U15" s="96" t="n"/>
      <c r="V15" s="26" t="n"/>
      <c r="AP15" s="237" t="n"/>
      <c r="AQ15" s="21" t="n"/>
      <c r="AS15" s="27" t="n"/>
      <c r="AT15" s="235" t="n"/>
      <c r="AU15" s="236" t="n"/>
      <c r="BP15" s="96" t="n"/>
      <c r="BQ15" s="26" t="n"/>
      <c r="CG15" s="237" t="n"/>
      <c r="CH15" s="29" t="n"/>
      <c r="CI15" s="61" t="n"/>
    </row>
    <row r="16" ht="19.15" customHeight="1">
      <c r="B16" s="27" t="n"/>
      <c r="C16" s="238" t="n"/>
      <c r="D16" s="153">
        <f>IF(
OR(
K13&lt;&gt;SUM(P12,P15),
K13&lt;&gt;SUM(AL13,AG13,AB13,W13)
),
"نقص في البيانات",
""
)</f>
        <v/>
      </c>
      <c r="E16" s="240" t="n"/>
      <c r="F16" s="240" t="n"/>
      <c r="G16" s="240" t="n"/>
      <c r="H16" s="240" t="n"/>
      <c r="I16" s="240" t="n"/>
      <c r="J16" s="240" t="n"/>
      <c r="K16" s="152">
        <f>IFERROR(IF(Logic!BE4="","",Logic!BE4),"")</f>
        <v/>
      </c>
      <c r="L16" s="240" t="n"/>
      <c r="M16" s="240" t="n"/>
      <c r="N16" s="240" t="n"/>
      <c r="O16" s="240" t="n"/>
      <c r="P16" s="254">
        <f>IFERROR(IF(Logic!CA4="","",Logic!CA4),"")</f>
        <v/>
      </c>
      <c r="Q16" s="240" t="n"/>
      <c r="R16" s="240" t="n"/>
      <c r="S16" s="240" t="n"/>
      <c r="T16" s="240" t="n"/>
      <c r="U16" s="53" t="n"/>
      <c r="V16" s="53" t="n"/>
      <c r="W16" s="145">
        <f>IFERROR(IF(Logic!BG4="","",Logic!BG4),"")</f>
        <v/>
      </c>
      <c r="X16" s="240" t="n"/>
      <c r="Y16" s="240" t="n"/>
      <c r="Z16" s="240" t="n"/>
      <c r="AA16" s="240" t="n"/>
      <c r="AB16" s="145">
        <f>IFERROR(IF(Logic!BF4="","",Logic!BF4),"")</f>
        <v/>
      </c>
      <c r="AC16" s="240" t="n"/>
      <c r="AD16" s="240" t="n"/>
      <c r="AE16" s="240" t="n"/>
      <c r="AF16" s="240" t="n"/>
      <c r="AG16" s="145">
        <f>IFERROR(IF(Logic!$CC$4="","",Logic!$CC$4),"")</f>
        <v/>
      </c>
      <c r="AH16" s="240" t="n"/>
      <c r="AI16" s="240" t="n"/>
      <c r="AJ16" s="240" t="n"/>
      <c r="AK16" s="240" t="n"/>
      <c r="AL16" s="165">
        <f>IFERROR(IF(Logic!$CB$4="","",Logic!$CB$4),"")</f>
        <v/>
      </c>
      <c r="AM16" s="240" t="n"/>
      <c r="AN16" s="240" t="n"/>
      <c r="AO16" s="240" t="n"/>
      <c r="AP16" s="243" t="n"/>
      <c r="AQ16" s="21" t="n"/>
      <c r="AS16" s="27" t="n"/>
      <c r="AT16" s="235" t="n"/>
      <c r="AU16" s="236" t="n"/>
      <c r="BP16" s="96" t="n"/>
      <c r="BQ16" s="26" t="n"/>
      <c r="CG16" s="237" t="n"/>
      <c r="CH16" s="29" t="n"/>
      <c r="CI16" s="61" t="n"/>
    </row>
    <row r="17" ht="19.15" customHeight="1">
      <c r="B17" s="27" t="n"/>
      <c r="AQ17" s="21" t="n"/>
      <c r="AR17" s="22" t="n"/>
      <c r="AS17" s="27" t="n"/>
      <c r="AT17" s="235" t="n"/>
      <c r="AU17" s="236" t="n"/>
      <c r="BP17" s="96" t="n"/>
      <c r="BQ17" s="26" t="n"/>
      <c r="CG17" s="237" t="n"/>
      <c r="CH17" s="29" t="n"/>
      <c r="CI17" s="61" t="n"/>
    </row>
    <row r="18" ht="19.15" customHeight="1">
      <c r="B18" s="27" t="n"/>
      <c r="C18" s="231">
        <f>IF(Performance!S20=0,"",1)</f>
        <v/>
      </c>
      <c r="D18" s="161" t="inlineStr">
        <is>
          <t>قرارات المجالس</t>
        </is>
      </c>
      <c r="E18" s="233" t="n"/>
      <c r="F18" s="233" t="n"/>
      <c r="G18" s="233" t="n"/>
      <c r="H18" s="233" t="n"/>
      <c r="I18" s="233" t="n"/>
      <c r="J18" s="233" t="n"/>
      <c r="K18" s="110" t="inlineStr">
        <is>
          <t>المجموع</t>
        </is>
      </c>
      <c r="L18" s="233" t="n"/>
      <c r="M18" s="233" t="n"/>
      <c r="N18" s="233" t="n"/>
      <c r="O18" s="233" t="n"/>
      <c r="P18" s="233" t="n"/>
      <c r="Q18" s="32" t="n"/>
      <c r="R18" s="32" t="n"/>
      <c r="S18" s="175" t="inlineStr">
        <is>
          <t>متأخر</t>
        </is>
      </c>
      <c r="T18" s="233" t="n"/>
      <c r="U18" s="233" t="n"/>
      <c r="V18" s="233" t="n"/>
      <c r="W18" s="233" t="n"/>
      <c r="X18" s="233" t="n"/>
      <c r="Y18" s="233" t="n"/>
      <c r="Z18" s="233" t="n"/>
      <c r="AA18" s="143" t="inlineStr">
        <is>
          <t>منجز</t>
        </is>
      </c>
      <c r="AB18" s="233" t="n"/>
      <c r="AC18" s="233" t="n"/>
      <c r="AD18" s="233" t="n"/>
      <c r="AE18" s="233" t="n"/>
      <c r="AF18" s="233" t="n"/>
      <c r="AG18" s="233" t="n"/>
      <c r="AH18" s="233" t="n"/>
      <c r="AI18" s="209" t="inlineStr">
        <is>
          <t>قيد العمل</t>
        </is>
      </c>
      <c r="AJ18" s="233" t="n"/>
      <c r="AK18" s="233" t="n"/>
      <c r="AL18" s="233" t="n"/>
      <c r="AM18" s="233" t="n"/>
      <c r="AN18" s="233" t="n"/>
      <c r="AO18" s="233" t="n"/>
      <c r="AP18" s="234" t="n"/>
      <c r="AQ18" s="21" t="n"/>
      <c r="AS18" s="27" t="n"/>
      <c r="AT18" s="238" t="n"/>
      <c r="AU18" s="224">
        <f>IFERROR(IF(Logic!AZ4="","",Logic!AZ4),"")</f>
        <v/>
      </c>
      <c r="AV18" s="240" t="n"/>
      <c r="AW18" s="240" t="n"/>
      <c r="AX18" s="240" t="n"/>
      <c r="AY18" s="240" t="n"/>
      <c r="AZ18" s="126">
        <f>IFERROR(IF(Logic!$BV$4="","",Logic!$BV$4),"")</f>
        <v/>
      </c>
      <c r="BA18" s="240" t="n"/>
      <c r="BB18" s="240" t="n"/>
      <c r="BC18" s="240" t="n"/>
      <c r="BD18" s="126">
        <f>IFERROR(IF(Logic!BB4="","",Logic!BB4),"")</f>
        <v/>
      </c>
      <c r="BE18" s="240" t="n"/>
      <c r="BF18" s="240" t="n"/>
      <c r="BG18" s="240" t="n"/>
      <c r="BH18" s="126">
        <f>IFERROR(IF(Logic!BA4="","",Logic!BA4),"")</f>
        <v/>
      </c>
      <c r="BI18" s="240" t="n"/>
      <c r="BJ18" s="240" t="n"/>
      <c r="BK18" s="240" t="n"/>
      <c r="BL18" s="126">
        <f>IFERROR(IF(Logic!$BX$4="","",Logic!$BX$4),"")</f>
        <v/>
      </c>
      <c r="BM18" s="240" t="n"/>
      <c r="BN18" s="240" t="n"/>
      <c r="BO18" s="240" t="n"/>
      <c r="BP18" s="52" t="n"/>
      <c r="BQ18" s="52" t="n"/>
      <c r="BR18" s="126">
        <f>IFERROR(IF(Logic!$BW$4="","",Logic!$BW$4),"")</f>
        <v/>
      </c>
      <c r="BS18" s="240" t="n"/>
      <c r="BT18" s="240" t="n"/>
      <c r="BU18" s="240" t="n"/>
      <c r="BV18" s="126">
        <f>IFERROR(IF(Logic!BD4="","",Logic!BD4),"")</f>
        <v/>
      </c>
      <c r="BW18" s="240" t="n"/>
      <c r="BX18" s="240" t="n"/>
      <c r="BY18" s="240" t="n"/>
      <c r="BZ18" s="126">
        <f>IFERROR(IF(Logic!BC4="","",Logic!BC4),"")</f>
        <v/>
      </c>
      <c r="CA18" s="240" t="n"/>
      <c r="CB18" s="240" t="n"/>
      <c r="CC18" s="240" t="n"/>
      <c r="CD18" s="166">
        <f>IFERROR(IF(Logic!$BY$4="","",Logic!$BY$4),"")</f>
        <v/>
      </c>
      <c r="CE18" s="240" t="n"/>
      <c r="CF18" s="240" t="n"/>
      <c r="CG18" s="243" t="n"/>
      <c r="CH18" s="29" t="n"/>
      <c r="CI18" s="61" t="n"/>
    </row>
    <row r="19" ht="19.15" customHeight="1">
      <c r="B19" s="27" t="n"/>
      <c r="C19" s="235" t="n"/>
      <c r="D19" s="236" t="n"/>
      <c r="Q19" s="95" t="n"/>
      <c r="R19" s="33" t="n"/>
      <c r="AP19" s="237" t="n"/>
      <c r="AQ19" s="21" t="n"/>
      <c r="AS19" s="27" t="n"/>
      <c r="AU19" s="222" t="inlineStr">
        <is>
          <t>مشاريع بموازنة استراتيجية</t>
        </is>
      </c>
      <c r="BK19" s="79" t="n"/>
      <c r="BL19" s="79" t="n"/>
      <c r="BM19" s="79" t="n"/>
      <c r="BN19" s="79" t="n"/>
      <c r="BO19" s="79" t="n"/>
      <c r="BP19" s="79" t="n"/>
      <c r="BQ19" s="79" t="n"/>
      <c r="BR19" s="79" t="n"/>
      <c r="BS19" s="79" t="n"/>
      <c r="BT19" s="79" t="n"/>
      <c r="BU19" s="79" t="n"/>
      <c r="BV19" s="79" t="n"/>
      <c r="BW19" s="79" t="n"/>
      <c r="BX19" s="79" t="n"/>
      <c r="BY19" s="79" t="n"/>
      <c r="BZ19" s="79" t="n"/>
      <c r="CA19" s="79" t="n"/>
      <c r="CB19" s="79" t="n"/>
      <c r="CC19" s="79" t="n"/>
      <c r="CD19" s="79" t="n"/>
      <c r="CE19" s="79" t="n"/>
      <c r="CF19" s="79" t="n"/>
      <c r="CG19" s="79" t="n"/>
      <c r="CH19" s="30" t="n"/>
      <c r="CI19" s="62" t="n"/>
    </row>
    <row r="20" ht="19.15" customHeight="1">
      <c r="B20" s="27" t="n"/>
      <c r="C20" s="235" t="n"/>
      <c r="D20" s="236" t="n"/>
      <c r="K20" s="246">
        <f>IF(Logic!L3="","",Logic!L3)</f>
        <v/>
      </c>
      <c r="Q20" s="96" t="n"/>
      <c r="R20" s="26" t="n"/>
      <c r="S20" s="247">
        <f>IF(Logic!O3="","",Logic!O3)</f>
        <v/>
      </c>
      <c r="AA20" s="248">
        <f>IF(Logic!N3="","",Logic!N3)</f>
        <v/>
      </c>
      <c r="AI20" s="250">
        <f>IF(Logic!M3="","",Logic!M3)</f>
        <v/>
      </c>
      <c r="AP20" s="237" t="n"/>
      <c r="AQ20" s="21" t="n"/>
      <c r="AR20" s="37" t="n"/>
      <c r="AS20" s="27" t="n"/>
      <c r="AT20" s="79" t="n"/>
      <c r="AU20" s="240" t="n"/>
      <c r="AV20" s="240" t="n"/>
      <c r="AW20" s="240" t="n"/>
      <c r="AX20" s="240" t="n"/>
      <c r="AY20" s="240" t="n"/>
      <c r="AZ20" s="240" t="n"/>
      <c r="BA20" s="240" t="n"/>
      <c r="BB20" s="240" t="n"/>
      <c r="BC20" s="240" t="n"/>
      <c r="BD20" s="240" t="n"/>
      <c r="BE20" s="240" t="n"/>
      <c r="BF20" s="240" t="n"/>
      <c r="BG20" s="240" t="n"/>
      <c r="BH20" s="240" t="n"/>
      <c r="BI20" s="240" t="n"/>
      <c r="BJ20" s="240" t="n"/>
      <c r="BK20" s="220">
        <f>IF(AU23&lt;&gt;SUM(BR23,BV23,BZ23,CD23), "نقص في البيانات", "")</f>
        <v/>
      </c>
      <c r="BQ20" s="219">
        <f t="array" ref="BQ20">"مشاريع "&amp;YEAR(ValidationDate)&amp;": "&amp;
SUM(Logic!$AL$3:$AO$3)&amp;
" | مشاريع "&amp;(YEAR(ValidationDate)+1)&amp;": "&amp;
SUMPRODUCT(
--(Projects[اسم المشروع]&lt;&gt;"")*
--ISNUMBER(Projects[انتهاء المشروع])*
--(Projects[انتهاء المشروع]&gt;=DATE(YEAR(ValidationDate)+1,1,1))*
--(Projects[انتهاء المشروع]&lt;DATE(YEAR(ValidationDate)+2,1,1))*
IF(
Logic!$A$3="",
1,
--(Projects[القطاع]=Logic!$A$3)
)*
IF(
Logic!$B$3="",
1,
--(Projects[[الإدارة ]]=Logic!$B$3)
)
)</f>
        <v/>
      </c>
      <c r="BR20" s="240" t="n"/>
      <c r="BS20" s="240" t="n"/>
      <c r="BT20" s="240" t="n"/>
      <c r="BU20" s="240" t="n"/>
      <c r="BV20" s="240" t="n"/>
      <c r="BW20" s="240" t="n"/>
      <c r="BX20" s="240" t="n"/>
      <c r="BY20" s="240" t="n"/>
      <c r="BZ20" s="240" t="n"/>
      <c r="CA20" s="240" t="n"/>
      <c r="CB20" s="240" t="n"/>
      <c r="CC20" s="240" t="n"/>
      <c r="CD20" s="240" t="n"/>
      <c r="CE20" s="240" t="n"/>
      <c r="CF20" s="240" t="n"/>
      <c r="CG20" s="240" t="n"/>
      <c r="CH20" s="20" t="n"/>
    </row>
    <row r="21" ht="19.15" customHeight="1">
      <c r="B21" s="27" t="n"/>
      <c r="C21" s="235" t="n"/>
      <c r="D21" s="236" t="n"/>
      <c r="Q21" s="96" t="n"/>
      <c r="R21" s="26" t="n"/>
      <c r="AP21" s="237" t="n"/>
      <c r="AQ21" s="21" t="n"/>
      <c r="AR21" s="37" t="n"/>
      <c r="AS21" s="27" t="n"/>
      <c r="AT21" s="255">
        <f>IF(AZ23=0,"",1)</f>
        <v/>
      </c>
      <c r="AU21" s="183" t="inlineStr">
        <is>
          <t>المجموع</t>
        </is>
      </c>
      <c r="AV21" s="233" t="n"/>
      <c r="AW21" s="233" t="n"/>
      <c r="AX21" s="233" t="n"/>
      <c r="AY21" s="233" t="n"/>
      <c r="AZ21" s="175" t="inlineStr">
        <is>
          <t>متأخر</t>
        </is>
      </c>
      <c r="BA21" s="233" t="n"/>
      <c r="BB21" s="233" t="n"/>
      <c r="BC21" s="233" t="n"/>
      <c r="BD21" s="143" t="inlineStr">
        <is>
          <t>منجز</t>
        </is>
      </c>
      <c r="BE21" s="233" t="n"/>
      <c r="BF21" s="233" t="n"/>
      <c r="BG21" s="233" t="n"/>
      <c r="BH21" s="204" t="inlineStr">
        <is>
          <t>قيد العمل</t>
        </is>
      </c>
      <c r="BI21" s="233" t="n"/>
      <c r="BJ21" s="233" t="n"/>
      <c r="BK21" s="233" t="n"/>
      <c r="BL21" s="173" t="inlineStr">
        <is>
          <t>ملغى/معلق</t>
        </is>
      </c>
      <c r="BM21" s="233" t="n"/>
      <c r="BN21" s="233" t="n"/>
      <c r="BO21" s="233" t="n"/>
      <c r="BP21" s="81" t="n"/>
      <c r="BQ21" s="81" t="n"/>
      <c r="BR21" s="146" t="inlineStr">
        <is>
          <t>ربع 1</t>
        </is>
      </c>
      <c r="BS21" s="233" t="n"/>
      <c r="BT21" s="233" t="n"/>
      <c r="BU21" s="233" t="n"/>
      <c r="BV21" s="146" t="inlineStr">
        <is>
          <t>ربع 2</t>
        </is>
      </c>
      <c r="BW21" s="233" t="n"/>
      <c r="BX21" s="233" t="n"/>
      <c r="BY21" s="233" t="n"/>
      <c r="BZ21" s="148" t="inlineStr">
        <is>
          <t>ربع 3</t>
        </is>
      </c>
      <c r="CA21" s="233" t="n"/>
      <c r="CB21" s="233" t="n"/>
      <c r="CC21" s="233" t="n"/>
      <c r="CD21" s="185" t="inlineStr">
        <is>
          <t>ربع 4</t>
        </is>
      </c>
      <c r="CE21" s="233" t="n"/>
      <c r="CF21" s="233" t="n"/>
      <c r="CG21" s="234" t="n"/>
      <c r="CH21" s="23" t="n"/>
      <c r="CI21" s="58" t="n"/>
    </row>
    <row r="22" ht="19.15" customHeight="1">
      <c r="B22" s="27" t="n"/>
      <c r="C22" s="235" t="n"/>
      <c r="D22" s="236" t="n"/>
      <c r="Q22" s="96" t="n"/>
      <c r="R22" s="26" t="n"/>
      <c r="AP22" s="237" t="n"/>
      <c r="AQ22" s="21" t="n"/>
      <c r="AS22" s="27" t="n"/>
      <c r="AT22" s="235" t="n"/>
      <c r="AU22" s="236" t="n"/>
      <c r="BP22" s="97" t="n"/>
      <c r="BQ22" s="82" t="n"/>
      <c r="CG22" s="237" t="n"/>
      <c r="CH22" s="21" t="n"/>
      <c r="CI22" s="63" t="n"/>
    </row>
    <row r="23" ht="19.15" customHeight="1">
      <c r="B23" s="27" t="n"/>
      <c r="C23" s="238" t="n"/>
      <c r="D23" s="153">
        <f t="array" ref="D23">_xlfn.LET(
_xlpm.tidy,_xlfn.LAMBDA(_xlpm.x,
TRIM(SUBSTITUTE(IFERROR(_xlpm.x&amp;"",""),CHAR(160)," "))
),
_xlpm.topic,IFERROR(Resolutions[الموضوع],""),
_xlpm.followup,_xlpm.tidy(Resolutions[متطلبات المتابعة]),
_xlpm.sector,_xlpm.tidy(Resolutions[القطاع]),
_xlpm.dept,_xlpm.tidy(Resolutions[الإدارة]),
_xlpm.selectedSector,_xlpm.tidy(Logic!$A$3),
_xlpm.selectedDept,_xlpm.tidy(Logic!$B$3),
_xlpm.scope,
(_xlpm.topic&lt;&gt;"")*
IF(_xlpm.selectedSector="",1,--(_xlpm.sector=_xlpm.selectedSector))*
IF(_xlpm.selectedDept="",1,--(_xlpm.dept=_xlpm.selectedDept)),
_xlpm.invalidFollowup,
SUMPRODUCT(
_xlpm.scope*
--(
(
(_xlpm.followup="")+
ISNA(
_xlfn.XMATCH(
_xlpm.followup,
_xlpm.tidy(FollowUp[متطلبات المتابعة])
)
)
)&gt;0
)
),
IF(
OR(
_xlpm.invalidFollowup&gt;0,
K20&lt;&gt;SUM(AI20,AA20,S20)
),
"نقص في البيانات",
""
)
)</f>
        <v/>
      </c>
      <c r="E23" s="240" t="n"/>
      <c r="F23" s="240" t="n"/>
      <c r="G23" s="240" t="n"/>
      <c r="H23" s="240" t="n"/>
      <c r="I23" s="240" t="n"/>
      <c r="J23" s="240" t="n"/>
      <c r="K23" s="152">
        <f>IFERROR(IF(Logic!BH4="","",Logic!BH4),"")</f>
        <v/>
      </c>
      <c r="L23" s="240" t="n"/>
      <c r="M23" s="240" t="n"/>
      <c r="N23" s="240" t="n"/>
      <c r="O23" s="240" t="n"/>
      <c r="P23" s="240" t="n"/>
      <c r="Q23" s="53" t="n"/>
      <c r="R23" s="53" t="n"/>
      <c r="S23" s="145">
        <f>IFERROR(IF(Logic!BJ4="","",Logic!BJ4),"")</f>
        <v/>
      </c>
      <c r="T23" s="240" t="n"/>
      <c r="U23" s="240" t="n"/>
      <c r="V23" s="240" t="n"/>
      <c r="W23" s="240" t="n"/>
      <c r="X23" s="240" t="n"/>
      <c r="Y23" s="240" t="n"/>
      <c r="Z23" s="240" t="n"/>
      <c r="AA23" s="145">
        <f>IFERROR(IF(Logic!BI4="","",Logic!BI4),"")</f>
        <v/>
      </c>
      <c r="AB23" s="240" t="n"/>
      <c r="AC23" s="240" t="n"/>
      <c r="AD23" s="240" t="n"/>
      <c r="AE23" s="240" t="n"/>
      <c r="AF23" s="240" t="n"/>
      <c r="AG23" s="240" t="n"/>
      <c r="AH23" s="240" t="n"/>
      <c r="AI23" s="165">
        <f>IFERROR(IF(Logic!$CD$4="","",Logic!$CD$4),"")</f>
        <v/>
      </c>
      <c r="AJ23" s="240" t="n"/>
      <c r="AK23" s="240" t="n"/>
      <c r="AL23" s="240" t="n"/>
      <c r="AM23" s="240" t="n"/>
      <c r="AN23" s="240" t="n"/>
      <c r="AO23" s="240" t="n"/>
      <c r="AP23" s="243" t="n"/>
      <c r="AQ23" s="21" t="n"/>
      <c r="AS23" s="27" t="n"/>
      <c r="AT23" s="235" t="n"/>
      <c r="AU23" s="251">
        <f>IF(Logic!AG3="","",Logic!AG3)</f>
        <v/>
      </c>
      <c r="AZ23" s="247">
        <f>IF(Logic!AK3="","",Logic!AK3)</f>
        <v/>
      </c>
      <c r="BD23" s="248">
        <f>IF(Logic!AJ3="","",Logic!AJ3)</f>
        <v/>
      </c>
      <c r="BH23" s="249">
        <f>IF(Logic!AH3="","",Logic!AH3)</f>
        <v/>
      </c>
      <c r="BL23" s="249">
        <f>IF(Logic!AI3="","",Logic!AI3)</f>
        <v/>
      </c>
      <c r="BP23" s="96" t="n"/>
      <c r="BQ23" s="26" t="n"/>
      <c r="BR23" s="252">
        <f>IF(Logic!AL3="","",Logic!AL3)</f>
        <v/>
      </c>
      <c r="BV23" s="252">
        <f>IF(Logic!AM3="","",Logic!AM3)</f>
        <v/>
      </c>
      <c r="BZ23" s="252">
        <f>IF(Logic!AN3="","",Logic!AN3)</f>
        <v/>
      </c>
      <c r="CD23" s="256">
        <f>IF(Logic!AO3="","",Logic!AO3)</f>
        <v/>
      </c>
      <c r="CG23" s="237" t="n"/>
      <c r="CH23" s="21" t="n"/>
      <c r="CI23" s="63" t="n"/>
    </row>
    <row r="24" ht="19.15" customHeight="1">
      <c r="B24" s="27" t="n"/>
      <c r="AQ24" s="21" t="n"/>
      <c r="AS24" s="27" t="n"/>
      <c r="AT24" s="235" t="n"/>
      <c r="AU24" s="236" t="n"/>
      <c r="BP24" s="96" t="n"/>
      <c r="BQ24" s="26" t="n"/>
      <c r="CG24" s="237" t="n"/>
      <c r="CH24" s="21" t="n"/>
      <c r="CI24" s="64" t="n"/>
    </row>
    <row r="25" ht="19.15" customHeight="1">
      <c r="B25" s="27" t="n"/>
      <c r="C25" s="231">
        <f>IF(S27=0,"",1)</f>
        <v/>
      </c>
      <c r="D25" s="161" t="inlineStr">
        <is>
          <t>التشريعات</t>
        </is>
      </c>
      <c r="E25" s="233" t="n"/>
      <c r="F25" s="233" t="n"/>
      <c r="G25" s="233" t="n"/>
      <c r="H25" s="233" t="n"/>
      <c r="I25" s="233" t="n"/>
      <c r="J25" s="233" t="n"/>
      <c r="K25" s="110" t="inlineStr">
        <is>
          <t>المجموع</t>
        </is>
      </c>
      <c r="L25" s="233" t="n"/>
      <c r="M25" s="233" t="n"/>
      <c r="N25" s="233" t="n"/>
      <c r="O25" s="233" t="n"/>
      <c r="P25" s="233" t="n"/>
      <c r="Q25" s="32" t="n"/>
      <c r="R25" s="32" t="n"/>
      <c r="S25" s="175" t="inlineStr">
        <is>
          <t>متأخر</t>
        </is>
      </c>
      <c r="T25" s="233" t="n"/>
      <c r="U25" s="233" t="n"/>
      <c r="V25" s="233" t="n"/>
      <c r="W25" s="233" t="n"/>
      <c r="X25" s="233" t="n"/>
      <c r="Y25" s="206" t="inlineStr">
        <is>
          <t>منجز
 على الموعد          تجاوز الموعد</t>
        </is>
      </c>
      <c r="Z25" s="233" t="n"/>
      <c r="AA25" s="233" t="n"/>
      <c r="AB25" s="233" t="n"/>
      <c r="AC25" s="233" t="n"/>
      <c r="AD25" s="233" t="n"/>
      <c r="AE25" s="233" t="n"/>
      <c r="AF25" s="233" t="n"/>
      <c r="AG25" s="233" t="n"/>
      <c r="AH25" s="233" t="n"/>
      <c r="AI25" s="233" t="n"/>
      <c r="AJ25" s="233" t="n"/>
      <c r="AK25" s="113" t="inlineStr">
        <is>
          <t>قيد العمل</t>
        </is>
      </c>
      <c r="AL25" s="233" t="n"/>
      <c r="AM25" s="233" t="n"/>
      <c r="AN25" s="233" t="n"/>
      <c r="AO25" s="233" t="n"/>
      <c r="AP25" s="234" t="n"/>
      <c r="AQ25" s="21" t="n"/>
      <c r="AS25" s="27" t="n"/>
      <c r="AT25" s="235" t="n"/>
      <c r="AU25" s="236" t="n"/>
      <c r="BP25" s="96" t="n"/>
      <c r="BQ25" s="26" t="n"/>
      <c r="CG25" s="237" t="n"/>
      <c r="CH25" s="21" t="n"/>
      <c r="CI25" s="64" t="n"/>
    </row>
    <row r="26" ht="19.15" customHeight="1">
      <c r="B26" s="27" t="n"/>
      <c r="C26" s="235" t="n"/>
      <c r="D26" s="236" t="n"/>
      <c r="Q26" s="95" t="n"/>
      <c r="R26" s="33" t="n"/>
      <c r="AP26" s="237" t="n"/>
      <c r="AQ26" s="21" t="n"/>
      <c r="AS26" s="27" t="n"/>
      <c r="AT26" s="235" t="n"/>
      <c r="AU26" s="192">
        <f>IFERROR(IF(Logic!BK4="","",Logic!BK4),"")</f>
        <v/>
      </c>
      <c r="AZ26" s="150">
        <f>IFERROR(IF(Logic!BM4="","",Logic!BM4),"")</f>
        <v/>
      </c>
      <c r="BD26" s="150">
        <f>IFERROR(IF(Logic!BL4="","",Logic!BL4),"")</f>
        <v/>
      </c>
      <c r="BH26" s="150">
        <f>IFERROR(IF(Logic!$CE$4="","",Logic!$CE$4),"")</f>
        <v/>
      </c>
      <c r="BL26" s="150">
        <f>IFERROR(IF(Logic!$CF$4="","",Logic!$CF$4),"")</f>
        <v/>
      </c>
      <c r="BP26" s="98" t="n"/>
      <c r="BQ26" s="98" t="n"/>
      <c r="BR26" s="150">
        <f>IFERROR(IF(Logic!$CG$4="","",Logic!$CG$4),"")</f>
        <v/>
      </c>
      <c r="BV26" s="150">
        <f>IFERROR(IF(Logic!$CH$4="","",Logic!$CH$4),"")</f>
        <v/>
      </c>
      <c r="BZ26" s="150">
        <f>IFERROR(IF(Logic!$CI$4="","",Logic!$CI$4),"")</f>
        <v/>
      </c>
      <c r="CD26" s="197">
        <f>IFERROR(IF(Logic!$CJ$4="","",Logic!$CJ$4),"")</f>
        <v/>
      </c>
      <c r="CG26" s="237" t="n"/>
      <c r="CH26" s="21" t="n"/>
      <c r="CI26" s="64" t="n"/>
    </row>
    <row r="27" ht="19.15" customHeight="1">
      <c r="B27" s="27" t="n"/>
      <c r="C27" s="235" t="n"/>
      <c r="D27" s="236" t="n"/>
      <c r="K27" s="246">
        <f>IF(Logic!S3="","",Logic!S3)</f>
        <v/>
      </c>
      <c r="Q27" s="96" t="n"/>
      <c r="R27" s="26" t="n"/>
      <c r="S27" s="247">
        <f>IF(Logic!W3="","", Logic!W3)</f>
        <v/>
      </c>
      <c r="Y27" s="248">
        <f>IF(Logic!U3="","",Logic!U3)</f>
        <v/>
      </c>
      <c r="AE27" s="248">
        <f>IF(Logic!V3="","",Logic!V3)</f>
        <v/>
      </c>
      <c r="AK27" s="250">
        <f>IF(Logic!T3="","",Logic!T3)</f>
        <v/>
      </c>
      <c r="AP27" s="237" t="n"/>
      <c r="AQ27" s="21" t="n"/>
      <c r="AS27" s="27" t="n"/>
      <c r="AT27" s="235" t="n"/>
      <c r="AU27" s="177" t="inlineStr">
        <is>
          <t>الموازنة المعتمدة</t>
        </is>
      </c>
      <c r="BD27" s="257">
        <f>IF(Logic!AG6="","",Logic!AG6)</f>
        <v/>
      </c>
      <c r="BL27" s="258">
        <f>IFERROR(IF(Logic!BR4="","",Logic!BR4),"")</f>
        <v/>
      </c>
      <c r="BO27" s="178" t="inlineStr">
        <is>
          <t>المخصص</t>
        </is>
      </c>
      <c r="BX27" s="257">
        <f>IF(Logic!AI6="","",Logic!AI6)</f>
        <v/>
      </c>
      <c r="CF27" s="259">
        <f>IFERROR(IF(Logic!$BT$4="","",Logic!$BT$4),"")</f>
        <v/>
      </c>
      <c r="CG27" s="237" t="n"/>
      <c r="CH27" s="24" t="n"/>
      <c r="CI27" s="65" t="n"/>
    </row>
    <row r="28" ht="19.15" customHeight="1">
      <c r="B28" s="27" t="n"/>
      <c r="C28" s="235" t="n"/>
      <c r="D28" s="236" t="n"/>
      <c r="Q28" s="96" t="n"/>
      <c r="R28" s="26" t="n"/>
      <c r="AP28" s="237" t="n"/>
      <c r="AQ28" s="21" t="n"/>
      <c r="AS28" s="27" t="n"/>
      <c r="AT28" s="235" t="n"/>
      <c r="AU28" s="236" t="n"/>
      <c r="CG28" s="237" t="n"/>
      <c r="CH28" s="24" t="n"/>
      <c r="CI28" s="65" t="n"/>
    </row>
    <row r="29" ht="19.15" customHeight="1">
      <c r="B29" s="27" t="n"/>
      <c r="C29" s="235" t="n"/>
      <c r="D29" s="236" t="n"/>
      <c r="Q29" s="96" t="n"/>
      <c r="R29" s="26" t="n"/>
      <c r="AP29" s="237" t="n"/>
      <c r="AQ29" s="21" t="n"/>
      <c r="AS29" s="27" t="n"/>
      <c r="AT29" s="235" t="n"/>
      <c r="AU29" s="198" t="inlineStr">
        <is>
          <t>المنفق الفعلي</t>
        </is>
      </c>
      <c r="BD29" s="260">
        <f>IF(Logic!AH6="","",Logic!AH6)</f>
        <v/>
      </c>
      <c r="BL29" s="261">
        <f>IFERROR(IF(Logic!BS4="","",Logic!BS4),"")</f>
        <v/>
      </c>
      <c r="BO29" s="199" t="inlineStr">
        <is>
          <t>غير المخصص</t>
        </is>
      </c>
      <c r="BX29" s="262">
        <f>IF(Logic!AJ6="","",Logic!AJ6)</f>
        <v/>
      </c>
      <c r="CF29" s="263">
        <f>IFERROR(IF(Logic!BU4="","",Logic!BU4),"")</f>
        <v/>
      </c>
      <c r="CG29" s="237" t="n"/>
      <c r="CH29" s="24" t="n"/>
      <c r="CI29" s="65" t="n"/>
    </row>
    <row r="30" ht="19.15" customHeight="1">
      <c r="B30" s="27" t="n"/>
      <c r="C30" s="238" t="n"/>
      <c r="D30" s="153">
        <f>IF(K27&lt;&gt;SUM(AK27,Y27,AE27),"نقص في البيانات","")</f>
        <v/>
      </c>
      <c r="E30" s="240" t="n"/>
      <c r="F30" s="240" t="n"/>
      <c r="G30" s="240" t="n"/>
      <c r="H30" s="240" t="n"/>
      <c r="I30" s="240" t="n"/>
      <c r="J30" s="240" t="n"/>
      <c r="K30" s="152">
        <f>IFERROR(IF(Logic!BN4="","",Logic!BN4),"")</f>
        <v/>
      </c>
      <c r="L30" s="240" t="n"/>
      <c r="M30" s="240" t="n"/>
      <c r="N30" s="240" t="n"/>
      <c r="O30" s="240" t="n"/>
      <c r="P30" s="240" t="n"/>
      <c r="Q30" s="53" t="n"/>
      <c r="R30" s="53" t="n"/>
      <c r="S30" s="126">
        <f>IFERROR(IF(Logic!BQ4="","",Logic!BQ4),"")</f>
        <v/>
      </c>
      <c r="T30" s="240" t="n"/>
      <c r="U30" s="240" t="n"/>
      <c r="V30" s="240" t="n"/>
      <c r="W30" s="240" t="n"/>
      <c r="X30" s="240" t="n"/>
      <c r="Y30" s="126">
        <f>IFERROR(IF(Logic!BO4="","",Logic!BO4),"")</f>
        <v/>
      </c>
      <c r="Z30" s="240" t="n"/>
      <c r="AA30" s="240" t="n"/>
      <c r="AB30" s="240" t="n"/>
      <c r="AC30" s="240" t="n"/>
      <c r="AD30" s="240" t="n"/>
      <c r="AE30" s="126">
        <f>IFERROR(IF(Logic!BP4="","",Logic!BP4),"")</f>
        <v/>
      </c>
      <c r="AF30" s="240" t="n"/>
      <c r="AG30" s="240" t="n"/>
      <c r="AH30" s="240" t="n"/>
      <c r="AI30" s="240" t="n"/>
      <c r="AJ30" s="240" t="n"/>
      <c r="AK30" s="166">
        <f>IFERROR(_xlfn.LET(_xlpm.previous,Logic!$BN$2-Logic!$BO$2-Logic!$BP$2,_xlpm.current,$AK$27,_xlpm.change,_xlpm.current-_xlpm.previous,IF(OR(COUNT(Logic!$BN$2:$BP$2)&lt;3,NOT(ISNUMBER(_xlpm.current)),_xlpm.previous&lt;0,_xlpm.change=0),"",IF(_xlpm.change&gt;0,"▲ +","▼ -")&amp;TEXT(ABS(_xlpm.change),"#,##0"))),"")</f>
        <v/>
      </c>
      <c r="AL30" s="240" t="n"/>
      <c r="AM30" s="240" t="n"/>
      <c r="AN30" s="240" t="n"/>
      <c r="AO30" s="240" t="n"/>
      <c r="AP30" s="243" t="n"/>
      <c r="AQ30" s="21" t="n"/>
      <c r="AS30" s="27" t="n"/>
      <c r="AT30" s="238" t="n"/>
      <c r="AU30" s="239" t="n"/>
      <c r="AV30" s="240" t="n"/>
      <c r="AW30" s="240" t="n"/>
      <c r="AX30" s="240" t="n"/>
      <c r="AY30" s="240" t="n"/>
      <c r="AZ30" s="240" t="n"/>
      <c r="BA30" s="240" t="n"/>
      <c r="BB30" s="240" t="n"/>
      <c r="BC30" s="240" t="n"/>
      <c r="BD30" s="240" t="n"/>
      <c r="BE30" s="240" t="n"/>
      <c r="BF30" s="240" t="n"/>
      <c r="BG30" s="240" t="n"/>
      <c r="BH30" s="240" t="n"/>
      <c r="BI30" s="240" t="n"/>
      <c r="BJ30" s="240" t="n"/>
      <c r="BK30" s="240" t="n"/>
      <c r="BL30" s="240" t="n"/>
      <c r="BM30" s="240" t="n"/>
      <c r="BN30" s="25" t="n"/>
      <c r="BO30" s="240" t="n"/>
      <c r="BP30" s="240" t="n"/>
      <c r="BQ30" s="240" t="n"/>
      <c r="BR30" s="240" t="n"/>
      <c r="BS30" s="240" t="n"/>
      <c r="BT30" s="240" t="n"/>
      <c r="BU30" s="240" t="n"/>
      <c r="BV30" s="240" t="n"/>
      <c r="BW30" s="240" t="n"/>
      <c r="BX30" s="240" t="n"/>
      <c r="BY30" s="240" t="n"/>
      <c r="BZ30" s="240" t="n"/>
      <c r="CA30" s="240" t="n"/>
      <c r="CB30" s="240" t="n"/>
      <c r="CC30" s="240" t="n"/>
      <c r="CD30" s="240" t="n"/>
      <c r="CE30" s="240" t="n"/>
      <c r="CF30" s="240" t="n"/>
      <c r="CG30" s="243" t="n"/>
      <c r="CH30" s="24" t="n"/>
      <c r="CI30" s="65" t="n"/>
    </row>
    <row r="31" ht="9" customHeight="1">
      <c r="B31" s="31" t="n"/>
      <c r="C31" s="25" t="n"/>
      <c r="D31" s="25" t="n"/>
      <c r="E31" s="25" t="n"/>
      <c r="F31" s="25" t="n"/>
      <c r="G31" s="25" t="n"/>
      <c r="H31" s="25" t="n"/>
      <c r="I31" s="25" t="n"/>
      <c r="J31" s="25" t="n"/>
      <c r="K31" s="25" t="n"/>
      <c r="L31" s="25" t="n"/>
      <c r="M31" s="25" t="n"/>
      <c r="N31" s="25" t="n"/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  <c r="AD31" s="25" t="n"/>
      <c r="AE31" s="25" t="n"/>
      <c r="AF31" s="25" t="n"/>
      <c r="AG31" s="25" t="n"/>
      <c r="AH31" s="25" t="n"/>
      <c r="AI31" s="25" t="n"/>
      <c r="AJ31" s="25" t="n"/>
      <c r="AK31" s="25" t="n"/>
      <c r="AL31" s="25" t="n"/>
      <c r="AM31" s="25" t="n"/>
      <c r="AN31" s="25" t="n"/>
      <c r="AO31" s="25" t="n"/>
      <c r="AP31" s="25" t="n"/>
      <c r="AQ31" s="34" t="n"/>
      <c r="AS31" s="31" t="n"/>
      <c r="AT31" s="25" t="n"/>
      <c r="AU31" s="25" t="n"/>
      <c r="AV31" s="25" t="n"/>
      <c r="AW31" s="25" t="n"/>
      <c r="AX31" s="25" t="n"/>
      <c r="AY31" s="25" t="n"/>
      <c r="AZ31" s="25" t="n"/>
      <c r="BA31" s="25" t="n"/>
      <c r="BB31" s="25" t="n"/>
      <c r="BC31" s="25" t="n"/>
      <c r="BD31" s="25" t="n"/>
      <c r="BE31" s="25" t="n"/>
      <c r="BF31" s="25" t="n"/>
      <c r="BG31" s="25" t="n"/>
      <c r="BH31" s="25" t="n"/>
      <c r="BI31" s="25" t="n"/>
      <c r="BJ31" s="25" t="n"/>
      <c r="BK31" s="25" t="n"/>
      <c r="BL31" s="25" t="n"/>
      <c r="BM31" s="25" t="n"/>
      <c r="BN31" s="25" t="n"/>
      <c r="BO31" s="25" t="n"/>
      <c r="BP31" s="25" t="n"/>
      <c r="BQ31" s="25" t="n"/>
      <c r="BR31" s="25" t="n"/>
      <c r="BS31" s="25" t="n"/>
      <c r="BT31" s="25" t="n"/>
      <c r="BU31" s="25" t="n"/>
      <c r="BV31" s="25" t="n"/>
      <c r="BW31" s="25" t="n"/>
      <c r="BX31" s="25" t="n"/>
      <c r="BY31" s="25" t="n"/>
      <c r="BZ31" s="25" t="n"/>
      <c r="CA31" s="25" t="n"/>
      <c r="CB31" s="25" t="n"/>
      <c r="CC31" s="25" t="n"/>
      <c r="CD31" s="25" t="n"/>
      <c r="CE31" s="25" t="n"/>
      <c r="CF31" s="25" t="n"/>
      <c r="CG31" s="25" t="n"/>
      <c r="CH31" s="34" t="n"/>
      <c r="CI31" s="60" t="n"/>
    </row>
    <row r="32" ht="9" customHeight="1">
      <c r="CI32" s="60" t="n"/>
    </row>
    <row r="33" ht="19.15" customHeight="1">
      <c r="B33" s="264" t="inlineStr">
        <is>
          <t>ملاحظات تفصيلية حول مواضيع تستدعي المتابعة:</t>
        </is>
      </c>
      <c r="C33" s="233" t="n"/>
      <c r="D33" s="233" t="n"/>
      <c r="E33" s="233" t="n"/>
      <c r="F33" s="233" t="n"/>
      <c r="G33" s="233" t="n"/>
      <c r="H33" s="233" t="n"/>
      <c r="I33" s="233" t="n"/>
      <c r="J33" s="233" t="n"/>
      <c r="K33" s="233" t="n"/>
      <c r="L33" s="233" t="n"/>
      <c r="M33" s="233" t="n"/>
      <c r="N33" s="233" t="n"/>
      <c r="O33" s="233" t="n"/>
      <c r="P33" s="233" t="n"/>
      <c r="Q33" s="233" t="n"/>
      <c r="R33" s="233" t="n"/>
      <c r="S33" s="233" t="n"/>
      <c r="T33" s="233" t="n"/>
      <c r="U33" s="233" t="n"/>
      <c r="V33" s="233" t="n"/>
      <c r="W33" s="233" t="n"/>
      <c r="X33" s="233" t="n"/>
      <c r="Y33" s="233" t="n"/>
      <c r="Z33" s="233" t="n"/>
      <c r="AA33" s="233" t="n"/>
      <c r="AB33" s="233" t="n"/>
      <c r="AC33" s="233" t="n"/>
      <c r="AD33" s="233" t="n"/>
      <c r="AE33" s="233" t="n"/>
      <c r="AF33" s="233" t="n"/>
      <c r="AG33" s="233" t="n"/>
      <c r="AH33" s="233" t="n"/>
      <c r="AI33" s="233" t="n"/>
      <c r="AJ33" s="233" t="n"/>
      <c r="AK33" s="233" t="n"/>
      <c r="AL33" s="233" t="n"/>
      <c r="AM33" s="233" t="n"/>
      <c r="AN33" s="233" t="n"/>
      <c r="AO33" s="233" t="n"/>
      <c r="AP33" s="233" t="n"/>
      <c r="AQ33" s="233" t="n"/>
      <c r="AR33" s="233" t="n"/>
      <c r="AS33" s="233" t="n"/>
      <c r="AT33" s="233" t="n"/>
      <c r="AU33" s="233" t="n"/>
      <c r="AV33" s="233" t="n"/>
      <c r="AW33" s="233" t="n"/>
      <c r="AX33" s="233" t="n"/>
      <c r="AY33" s="233" t="n"/>
      <c r="AZ33" s="233" t="n"/>
      <c r="BA33" s="233" t="n"/>
      <c r="BB33" s="233" t="n"/>
      <c r="BC33" s="233" t="n"/>
      <c r="BD33" s="233" t="n"/>
      <c r="BE33" s="233" t="n"/>
      <c r="BF33" s="233" t="n"/>
      <c r="BG33" s="233" t="n"/>
      <c r="BH33" s="233" t="n"/>
      <c r="BI33" s="233" t="n"/>
      <c r="BJ33" s="233" t="n"/>
      <c r="BK33" s="233" t="n"/>
      <c r="BL33" s="233" t="n"/>
      <c r="BM33" s="233" t="n"/>
      <c r="BN33" s="233" t="n"/>
      <c r="BO33" s="233" t="n"/>
      <c r="BP33" s="233" t="n"/>
      <c r="BQ33" s="233" t="n"/>
      <c r="BR33" s="233" t="n"/>
      <c r="BS33" s="233" t="n"/>
      <c r="BT33" s="233" t="n"/>
      <c r="BU33" s="233" t="n"/>
      <c r="BV33" s="233" t="n"/>
      <c r="BW33" s="233" t="n"/>
      <c r="BX33" s="233" t="n"/>
      <c r="BY33" s="233" t="n"/>
      <c r="BZ33" s="233" t="n"/>
      <c r="CA33" s="233" t="n"/>
      <c r="CB33" s="233" t="n"/>
      <c r="CC33" s="233" t="n"/>
      <c r="CD33" s="233" t="n"/>
      <c r="CE33" s="233" t="n"/>
      <c r="CF33" s="233" t="n"/>
      <c r="CG33" s="233" t="n"/>
      <c r="CH33" s="234" t="n"/>
    </row>
    <row r="34" ht="19.15" customHeight="1">
      <c r="B34" s="239" t="n"/>
      <c r="C34" s="240" t="n"/>
      <c r="D34" s="240" t="n"/>
      <c r="E34" s="240" t="n"/>
      <c r="F34" s="240" t="n"/>
      <c r="G34" s="240" t="n"/>
      <c r="H34" s="240" t="n"/>
      <c r="I34" s="240" t="n"/>
      <c r="J34" s="240" t="n"/>
      <c r="K34" s="240" t="n"/>
      <c r="L34" s="240" t="n"/>
      <c r="M34" s="240" t="n"/>
      <c r="N34" s="240" t="n"/>
      <c r="O34" s="240" t="n"/>
      <c r="P34" s="240" t="n"/>
      <c r="Q34" s="240" t="n"/>
      <c r="R34" s="240" t="n"/>
      <c r="S34" s="240" t="n"/>
      <c r="T34" s="240" t="n"/>
      <c r="U34" s="240" t="n"/>
      <c r="V34" s="240" t="n"/>
      <c r="W34" s="240" t="n"/>
      <c r="X34" s="240" t="n"/>
      <c r="Y34" s="240" t="n"/>
      <c r="Z34" s="240" t="n"/>
      <c r="AA34" s="240" t="n"/>
      <c r="AB34" s="240" t="n"/>
      <c r="AC34" s="240" t="n"/>
      <c r="AD34" s="240" t="n"/>
      <c r="AE34" s="240" t="n"/>
      <c r="AF34" s="240" t="n"/>
      <c r="AG34" s="240" t="n"/>
      <c r="AH34" s="240" t="n"/>
      <c r="AI34" s="240" t="n"/>
      <c r="AJ34" s="240" t="n"/>
      <c r="AK34" s="240" t="n"/>
      <c r="AL34" s="240" t="n"/>
      <c r="AM34" s="240" t="n"/>
      <c r="AN34" s="240" t="n"/>
      <c r="AO34" s="240" t="n"/>
      <c r="AP34" s="240" t="n"/>
      <c r="AQ34" s="240" t="n"/>
      <c r="AR34" s="240" t="n"/>
      <c r="AS34" s="240" t="n"/>
      <c r="AT34" s="240" t="n"/>
      <c r="AU34" s="240" t="n"/>
      <c r="AV34" s="240" t="n"/>
      <c r="AW34" s="240" t="n"/>
      <c r="AX34" s="240" t="n"/>
      <c r="AY34" s="240" t="n"/>
      <c r="AZ34" s="240" t="n"/>
      <c r="BA34" s="240" t="n"/>
      <c r="BB34" s="240" t="n"/>
      <c r="BC34" s="240" t="n"/>
      <c r="BD34" s="240" t="n"/>
      <c r="BE34" s="240" t="n"/>
      <c r="BF34" s="240" t="n"/>
      <c r="BG34" s="240" t="n"/>
      <c r="BH34" s="240" t="n"/>
      <c r="BI34" s="240" t="n"/>
      <c r="BJ34" s="240" t="n"/>
      <c r="BK34" s="240" t="n"/>
      <c r="BL34" s="240" t="n"/>
      <c r="BM34" s="240" t="n"/>
      <c r="BN34" s="240" t="n"/>
      <c r="BO34" s="240" t="n"/>
      <c r="BP34" s="240" t="n"/>
      <c r="BQ34" s="240" t="n"/>
      <c r="BR34" s="240" t="n"/>
      <c r="BS34" s="240" t="n"/>
      <c r="BT34" s="240" t="n"/>
      <c r="BU34" s="240" t="n"/>
      <c r="BV34" s="240" t="n"/>
      <c r="BW34" s="240" t="n"/>
      <c r="BX34" s="240" t="n"/>
      <c r="BY34" s="240" t="n"/>
      <c r="BZ34" s="240" t="n"/>
      <c r="CA34" s="240" t="n"/>
      <c r="CB34" s="240" t="n"/>
      <c r="CC34" s="240" t="n"/>
      <c r="CD34" s="240" t="n"/>
      <c r="CE34" s="240" t="n"/>
      <c r="CF34" s="240" t="n"/>
      <c r="CG34" s="240" t="n"/>
      <c r="CH34" s="243" t="n"/>
    </row>
    <row r="35" ht="18.75" customFormat="1" customHeight="1" s="55">
      <c r="B35" s="265">
        <f t="array" ref="B35">IFERROR(INDEX(_xlfn.ANCHORARRAY(Logic!$CL$2),ROWS($B$35:B35)),"")</f>
        <v/>
      </c>
      <c r="CH35" s="237" t="n"/>
    </row>
    <row r="36" outlineLevel="1" ht="18.75" customFormat="1" customHeight="1" s="55">
      <c r="B36" s="265">
        <f t="array" ref="B36">IFERROR(INDEX(_xlfn.ANCHORARRAY(Logic!$CL$2),ROWS($B$35:B36)),"")</f>
        <v/>
      </c>
      <c r="CH36" s="237" t="n"/>
      <c r="CI36" s="66" t="n"/>
    </row>
    <row r="37" outlineLevel="1" ht="18.75" customFormat="1" customHeight="1" s="55">
      <c r="B37" s="265">
        <f t="array" ref="B37">IFERROR(INDEX(_xlfn.ANCHORARRAY(Logic!$CL$2),ROWS($B$35:B37)),"")</f>
        <v/>
      </c>
      <c r="CH37" s="237" t="n"/>
    </row>
    <row r="38" outlineLevel="1" ht="18.75" customFormat="1" customHeight="1" s="55">
      <c r="B38" s="265">
        <f t="array" ref="B38">IFERROR(INDEX(_xlfn.ANCHORARRAY(Logic!$CL$2),ROWS($B$35:B38)),"")</f>
        <v/>
      </c>
      <c r="CH38" s="237" t="n"/>
    </row>
    <row r="39" outlineLevel="1" ht="18.75" customFormat="1" customHeight="1" s="55">
      <c r="B39" s="265">
        <f t="array" ref="B39">IFERROR(INDEX(_xlfn.ANCHORARRAY(Logic!$CL$2),ROWS($B$35:B39)),"")</f>
        <v/>
      </c>
      <c r="CH39" s="237" t="n"/>
    </row>
    <row r="40" outlineLevel="1" ht="18.75" customFormat="1" customHeight="1" s="55">
      <c r="B40" s="265">
        <f t="array" ref="B40">IFERROR(INDEX(_xlfn.ANCHORARRAY(Logic!$CL$2),ROWS($B$35:B40)),"")</f>
        <v/>
      </c>
      <c r="CH40" s="237" t="n"/>
    </row>
    <row r="41" outlineLevel="1" ht="18.75" customFormat="1" customHeight="1" s="55">
      <c r="B41" s="265">
        <f t="array" ref="B41">IFERROR(INDEX(_xlfn.ANCHORARRAY(Logic!$CL$2),ROWS($B$35:B41)),"")</f>
        <v/>
      </c>
      <c r="CH41" s="237" t="n"/>
    </row>
    <row r="42" outlineLevel="1" ht="18.75" customFormat="1" customHeight="1" s="55">
      <c r="B42" s="265">
        <f t="array" ref="B42">IFERROR(INDEX(_xlfn.ANCHORARRAY(Logic!$CL$2),ROWS($B$35:B42)),"")</f>
        <v/>
      </c>
      <c r="CH42" s="237" t="n"/>
    </row>
    <row r="43" outlineLevel="1" ht="18.75" customFormat="1" customHeight="1" s="55">
      <c r="B43" s="266">
        <f t="array" ref="B43">IFERROR(INDEX(_xlfn.ANCHORARRAY(Logic!$CL$2),ROWS($B$35:B43)),"")</f>
        <v/>
      </c>
      <c r="C43" s="240" t="n"/>
      <c r="D43" s="240" t="n"/>
      <c r="E43" s="240" t="n"/>
      <c r="F43" s="240" t="n"/>
      <c r="G43" s="240" t="n"/>
      <c r="H43" s="240" t="n"/>
      <c r="I43" s="240" t="n"/>
      <c r="J43" s="240" t="n"/>
      <c r="K43" s="240" t="n"/>
      <c r="L43" s="240" t="n"/>
      <c r="M43" s="240" t="n"/>
      <c r="N43" s="240" t="n"/>
      <c r="O43" s="240" t="n"/>
      <c r="P43" s="240" t="n"/>
      <c r="Q43" s="240" t="n"/>
      <c r="R43" s="240" t="n"/>
      <c r="S43" s="240" t="n"/>
      <c r="T43" s="240" t="n"/>
      <c r="U43" s="240" t="n"/>
      <c r="V43" s="240" t="n"/>
      <c r="W43" s="240" t="n"/>
      <c r="X43" s="240" t="n"/>
      <c r="Y43" s="240" t="n"/>
      <c r="Z43" s="240" t="n"/>
      <c r="AA43" s="240" t="n"/>
      <c r="AB43" s="240" t="n"/>
      <c r="AC43" s="240" t="n"/>
      <c r="AD43" s="240" t="n"/>
      <c r="AE43" s="240" t="n"/>
      <c r="AF43" s="240" t="n"/>
      <c r="AG43" s="240" t="n"/>
      <c r="AH43" s="240" t="n"/>
      <c r="AI43" s="240" t="n"/>
      <c r="AJ43" s="240" t="n"/>
      <c r="AK43" s="240" t="n"/>
      <c r="AL43" s="240" t="n"/>
      <c r="AM43" s="240" t="n"/>
      <c r="AN43" s="240" t="n"/>
      <c r="AO43" s="240" t="n"/>
      <c r="AP43" s="240" t="n"/>
      <c r="AQ43" s="240" t="n"/>
      <c r="AR43" s="240" t="n"/>
      <c r="AS43" s="240" t="n"/>
      <c r="AT43" s="240" t="n"/>
      <c r="AU43" s="240" t="n"/>
      <c r="AV43" s="240" t="n"/>
      <c r="AW43" s="240" t="n"/>
      <c r="AX43" s="240" t="n"/>
      <c r="AY43" s="240" t="n"/>
      <c r="AZ43" s="240" t="n"/>
      <c r="BA43" s="240" t="n"/>
      <c r="BB43" s="240" t="n"/>
      <c r="BC43" s="240" t="n"/>
      <c r="BD43" s="240" t="n"/>
      <c r="BE43" s="240" t="n"/>
      <c r="BF43" s="240" t="n"/>
      <c r="BG43" s="240" t="n"/>
      <c r="BH43" s="240" t="n"/>
      <c r="BI43" s="240" t="n"/>
      <c r="BJ43" s="240" t="n"/>
      <c r="BK43" s="240" t="n"/>
      <c r="BL43" s="240" t="n"/>
      <c r="BM43" s="240" t="n"/>
      <c r="BN43" s="240" t="n"/>
      <c r="BO43" s="240" t="n"/>
      <c r="BP43" s="240" t="n"/>
      <c r="BQ43" s="240" t="n"/>
      <c r="BR43" s="240" t="n"/>
      <c r="BS43" s="240" t="n"/>
      <c r="BT43" s="240" t="n"/>
      <c r="BU43" s="240" t="n"/>
      <c r="BV43" s="240" t="n"/>
      <c r="BW43" s="240" t="n"/>
      <c r="BX43" s="240" t="n"/>
      <c r="BY43" s="240" t="n"/>
      <c r="BZ43" s="240" t="n"/>
      <c r="CA43" s="240" t="n"/>
      <c r="CB43" s="240" t="n"/>
      <c r="CC43" s="240" t="n"/>
      <c r="CD43" s="240" t="n"/>
      <c r="CE43" s="240" t="n"/>
      <c r="CF43" s="240" t="n"/>
      <c r="CG43" s="240" t="n"/>
      <c r="CH43" s="243" t="n"/>
    </row>
    <row r="44" ht="9" customHeight="1"/>
    <row r="45" ht="19.15" customHeight="1">
      <c r="A45" s="67" t="n"/>
      <c r="B45" s="68" t="n"/>
      <c r="C45" s="69" t="inlineStr">
        <is>
          <t>إدارة التنفيذ والأداء، حقوق النشر © 2026 الأمانة العامة للمجلس التنفيذي لإمارة دبي - جميع الحقوق محفوظة</t>
        </is>
      </c>
      <c r="D45" s="69" t="n"/>
      <c r="E45" s="69" t="n"/>
      <c r="F45" s="69" t="n"/>
      <c r="G45" s="68" t="n"/>
      <c r="H45" s="68" t="n"/>
      <c r="I45" s="68" t="n"/>
      <c r="J45" s="68" t="n"/>
      <c r="K45" s="68" t="n"/>
      <c r="L45" s="68" t="n"/>
      <c r="M45" s="68" t="n"/>
      <c r="N45" s="68" t="n"/>
      <c r="O45" s="68" t="n"/>
      <c r="P45" s="68" t="n"/>
      <c r="Q45" s="68" t="n"/>
      <c r="R45" s="68" t="n"/>
      <c r="S45" s="68" t="n"/>
      <c r="T45" s="68" t="n"/>
      <c r="U45" s="68" t="n"/>
      <c r="V45" s="67" t="n"/>
      <c r="W45" s="67" t="n"/>
      <c r="X45" s="67" t="n"/>
      <c r="Y45" s="67" t="n"/>
      <c r="Z45" s="67" t="n"/>
      <c r="AA45" s="67" t="n"/>
      <c r="AB45" s="67" t="n"/>
      <c r="AC45" s="67" t="n"/>
      <c r="AD45" s="67" t="n"/>
      <c r="AE45" s="67" t="n"/>
      <c r="AF45" s="67" t="n"/>
      <c r="AG45" s="67" t="n"/>
      <c r="AH45" s="67" t="n"/>
      <c r="AI45" s="67" t="n"/>
      <c r="AJ45" s="67" t="n"/>
      <c r="AK45" s="67" t="n"/>
      <c r="AL45" s="67" t="n"/>
      <c r="AM45" s="67" t="n"/>
      <c r="AN45" s="67" t="n"/>
      <c r="AO45" s="67" t="n"/>
      <c r="AP45" s="67" t="n"/>
      <c r="AQ45" s="67" t="n"/>
      <c r="AR45" s="67" t="n"/>
      <c r="AS45" s="67" t="n"/>
      <c r="AT45" s="67" t="n"/>
      <c r="AU45" s="67" t="n"/>
      <c r="AV45" s="67" t="n"/>
      <c r="AW45" s="67" t="n"/>
      <c r="AX45" s="67" t="n"/>
      <c r="AY45" s="67" t="n"/>
      <c r="AZ45" s="67" t="n"/>
      <c r="BA45" s="67" t="n"/>
      <c r="BB45" s="67" t="n"/>
      <c r="BC45" s="67" t="n"/>
      <c r="BD45" s="67" t="n"/>
      <c r="BE45" s="67" t="n"/>
      <c r="BF45" s="67" t="n"/>
      <c r="BG45" s="67" t="n"/>
      <c r="BH45" s="67" t="n"/>
      <c r="BI45" s="67" t="n"/>
      <c r="BJ45" s="67" t="n"/>
      <c r="BK45" s="67" t="n"/>
      <c r="BL45" s="67" t="n"/>
      <c r="BM45" s="67" t="n"/>
      <c r="BN45" s="67" t="n"/>
      <c r="BO45" s="67" t="n"/>
      <c r="BP45" s="67" t="n"/>
      <c r="BQ45" s="67" t="n"/>
      <c r="BR45" s="67" t="n"/>
      <c r="BS45" s="67" t="n"/>
      <c r="BT45" s="67" t="n"/>
      <c r="BU45" s="67" t="n"/>
      <c r="BV45" s="67" t="n"/>
      <c r="BW45" s="67" t="n"/>
      <c r="BX45" s="67" t="n"/>
      <c r="BY45" s="67" t="n"/>
      <c r="BZ45" s="67" t="n"/>
      <c r="CA45" s="67" t="n"/>
      <c r="CB45" s="67" t="n"/>
      <c r="CC45" s="67" t="n"/>
      <c r="CD45" s="67" t="n"/>
      <c r="CE45" s="67" t="n"/>
      <c r="CF45" s="67" t="n"/>
      <c r="CG45" s="67" t="n"/>
      <c r="CH45" s="67" t="n"/>
      <c r="CI45" s="67" t="n"/>
    </row>
  </sheetData>
  <mergeCells count="154">
    <mergeCell ref="BH23:BK25"/>
    <mergeCell ref="S27:X29"/>
    <mergeCell ref="CD23:CG25"/>
    <mergeCell ref="BZ26:CC26"/>
    <mergeCell ref="AZ18:BC18"/>
    <mergeCell ref="B33:CH34"/>
    <mergeCell ref="BY4:CH5"/>
    <mergeCell ref="CD21:CG22"/>
    <mergeCell ref="AY2:AY6"/>
    <mergeCell ref="BV14:BY17"/>
    <mergeCell ref="CF27:CG28"/>
    <mergeCell ref="S25:X26"/>
    <mergeCell ref="BV18:BY18"/>
    <mergeCell ref="AL16:AP16"/>
    <mergeCell ref="B37:CH37"/>
    <mergeCell ref="K23:P23"/>
    <mergeCell ref="AE30:AJ30"/>
    <mergeCell ref="AA18:AH19"/>
    <mergeCell ref="AK25:AP26"/>
    <mergeCell ref="BE2:BN3"/>
    <mergeCell ref="AU21:AY22"/>
    <mergeCell ref="W16:AA16"/>
    <mergeCell ref="BH18:BK18"/>
    <mergeCell ref="AI20:AP22"/>
    <mergeCell ref="X6:AQ6"/>
    <mergeCell ref="AL11:AP12"/>
    <mergeCell ref="BL12:BO13"/>
    <mergeCell ref="P12:T12"/>
    <mergeCell ref="D11:J15"/>
    <mergeCell ref="BZ12:CC13"/>
    <mergeCell ref="BL29:BM30"/>
    <mergeCell ref="AB13:AF15"/>
    <mergeCell ref="BR14:BU17"/>
    <mergeCell ref="P14:T14"/>
    <mergeCell ref="AU18:AY18"/>
    <mergeCell ref="AI23:AP23"/>
    <mergeCell ref="AS8:CH9"/>
    <mergeCell ref="Y25:AJ26"/>
    <mergeCell ref="AA23:AH23"/>
    <mergeCell ref="K16:O16"/>
    <mergeCell ref="BL14:BO17"/>
    <mergeCell ref="B43:CH43"/>
    <mergeCell ref="AZ2:BD6"/>
    <mergeCell ref="AU10:BJ11"/>
    <mergeCell ref="B42:CH42"/>
    <mergeCell ref="W11:AA12"/>
    <mergeCell ref="D23:J23"/>
    <mergeCell ref="BX27:CE28"/>
    <mergeCell ref="BO29:BW30"/>
    <mergeCell ref="K18:P19"/>
    <mergeCell ref="AI18:AP19"/>
    <mergeCell ref="AZ23:BC25"/>
    <mergeCell ref="CD18:CG18"/>
    <mergeCell ref="BH21:BK22"/>
    <mergeCell ref="K27:P29"/>
    <mergeCell ref="AB16:AF16"/>
    <mergeCell ref="D25:J29"/>
    <mergeCell ref="AU12:AY13"/>
    <mergeCell ref="BR26:BU26"/>
    <mergeCell ref="BH26:BK26"/>
    <mergeCell ref="BD29:BK30"/>
    <mergeCell ref="BV21:BY22"/>
    <mergeCell ref="S30:X30"/>
    <mergeCell ref="CD26:CG26"/>
    <mergeCell ref="BK20:BP20"/>
    <mergeCell ref="BV26:BY26"/>
    <mergeCell ref="BZ23:CC25"/>
    <mergeCell ref="BR23:BU25"/>
    <mergeCell ref="AG13:AK15"/>
    <mergeCell ref="AE27:AJ29"/>
    <mergeCell ref="B8:AQ9"/>
    <mergeCell ref="AU27:BC28"/>
    <mergeCell ref="AU14:AY17"/>
    <mergeCell ref="BX29:CE30"/>
    <mergeCell ref="B2:AX4"/>
    <mergeCell ref="BR18:BU18"/>
    <mergeCell ref="BD12:BG13"/>
    <mergeCell ref="C18:C23"/>
    <mergeCell ref="S20:Z22"/>
    <mergeCell ref="B39:CH39"/>
    <mergeCell ref="BO2:BX3"/>
    <mergeCell ref="D30:J30"/>
    <mergeCell ref="BH12:BK13"/>
    <mergeCell ref="AU23:AY25"/>
    <mergeCell ref="BE4:BN5"/>
    <mergeCell ref="CD12:CG13"/>
    <mergeCell ref="D18:J22"/>
    <mergeCell ref="BV12:BY13"/>
    <mergeCell ref="BD14:BG17"/>
    <mergeCell ref="BD26:BG26"/>
    <mergeCell ref="C25:C30"/>
    <mergeCell ref="AL13:AP15"/>
    <mergeCell ref="BY2:CH3"/>
    <mergeCell ref="BE6:BN6"/>
    <mergeCell ref="BH14:BK17"/>
    <mergeCell ref="BO6:BX6"/>
    <mergeCell ref="BL23:BO25"/>
    <mergeCell ref="Y27:AD29"/>
    <mergeCell ref="BD18:BG18"/>
    <mergeCell ref="P16:T16"/>
    <mergeCell ref="C11:C16"/>
    <mergeCell ref="AK27:AP29"/>
    <mergeCell ref="AZ21:BC22"/>
    <mergeCell ref="B36:CH36"/>
    <mergeCell ref="BZ14:CC17"/>
    <mergeCell ref="BO4:BX5"/>
    <mergeCell ref="K30:P30"/>
    <mergeCell ref="BZ18:CC18"/>
    <mergeCell ref="K13:O15"/>
    <mergeCell ref="BD21:BG22"/>
    <mergeCell ref="BL26:BO26"/>
    <mergeCell ref="D16:J16"/>
    <mergeCell ref="B6:U6"/>
    <mergeCell ref="BZ21:CC22"/>
    <mergeCell ref="BR21:BU22"/>
    <mergeCell ref="K11:O12"/>
    <mergeCell ref="K20:P22"/>
    <mergeCell ref="AK30:AP30"/>
    <mergeCell ref="AT21:AT30"/>
    <mergeCell ref="BV23:BY25"/>
    <mergeCell ref="AB11:AF12"/>
    <mergeCell ref="BL18:BO18"/>
    <mergeCell ref="BL27:BM28"/>
    <mergeCell ref="W13:AA15"/>
    <mergeCell ref="BK11:BQ11"/>
    <mergeCell ref="K25:P26"/>
    <mergeCell ref="AU19:BJ20"/>
    <mergeCell ref="B38:CH38"/>
    <mergeCell ref="BD27:BK28"/>
    <mergeCell ref="AU29:BC30"/>
    <mergeCell ref="P11:T11"/>
    <mergeCell ref="BQ20:CG20"/>
    <mergeCell ref="S23:Z23"/>
    <mergeCell ref="B40:CH40"/>
    <mergeCell ref="AZ12:BC13"/>
    <mergeCell ref="AU26:AY26"/>
    <mergeCell ref="AG16:AK16"/>
    <mergeCell ref="CF29:CG30"/>
    <mergeCell ref="AA20:AH22"/>
    <mergeCell ref="BO27:BW28"/>
    <mergeCell ref="CD14:CG17"/>
    <mergeCell ref="P13:T13"/>
    <mergeCell ref="B41:CH41"/>
    <mergeCell ref="B35:CH35"/>
    <mergeCell ref="BR12:BU13"/>
    <mergeCell ref="S18:Z19"/>
    <mergeCell ref="AZ14:BC17"/>
    <mergeCell ref="AT12:AT18"/>
    <mergeCell ref="BD23:BG25"/>
    <mergeCell ref="P15:T15"/>
    <mergeCell ref="BL21:BO22"/>
    <mergeCell ref="AZ26:BC26"/>
    <mergeCell ref="AG11:AK12"/>
    <mergeCell ref="Y30:AD30"/>
  </mergeCells>
  <conditionalFormatting sqref="C11:C16">
    <cfRule type="expression" priority="20" dxfId="11">
      <formula>$C$11=1</formula>
    </cfRule>
  </conditionalFormatting>
  <conditionalFormatting sqref="C18:C23">
    <cfRule type="expression" priority="19" dxfId="11">
      <formula>$C$18=1</formula>
    </cfRule>
  </conditionalFormatting>
  <conditionalFormatting sqref="C25:C30">
    <cfRule type="expression" priority="18" dxfId="11">
      <formula>$C$25=1</formula>
    </cfRule>
  </conditionalFormatting>
  <conditionalFormatting sqref="S23:Z23 S30:X30 W16:AA16 AZ26:BC26 BD18:BG18 BV18:BY18">
    <cfRule type="expression" priority="9" dxfId="7">
      <formula>ISNUMBER(SEARCH("▲",S16))</formula>
    </cfRule>
    <cfRule type="expression" priority="10" dxfId="8">
      <formula>ISNUMBER(SEARCH("▼",S16))</formula>
    </cfRule>
  </conditionalFormatting>
  <conditionalFormatting sqref="S23:AH23 S30:AJ30 W16:AF16 AZ26:BG26 BD18:BK18 BE6 BO6 BV18:CC18">
    <cfRule type="expression" priority="11" dxfId="7">
      <formula>ISNUMBER(SEARCH("▼",INDIRECT("RC",FALSE)))</formula>
    </cfRule>
    <cfRule type="expression" priority="12" dxfId="8">
      <formula>ISNUMBER(SEARCH("▲",INDIRECT("RC",FALSE)))</formula>
    </cfRule>
  </conditionalFormatting>
  <conditionalFormatting sqref="AT12:AT18">
    <cfRule type="expression" priority="22" dxfId="11">
      <formula>$AT$12=1</formula>
    </cfRule>
  </conditionalFormatting>
  <conditionalFormatting sqref="AT21:AT30">
    <cfRule type="expression" priority="21" dxfId="11">
      <formula>$AT$21=1</formula>
    </cfRule>
  </conditionalFormatting>
  <conditionalFormatting sqref="AY2">
    <cfRule type="expression" priority="1" dxfId="11">
      <formula>$AY$2=1</formula>
    </cfRule>
  </conditionalFormatting>
  <conditionalFormatting sqref="AZ18:BC18 BH18:BO18">
    <cfRule type="expression" priority="6" dxfId="7">
      <formula>ISNUMBER(SEARCH("▼",INDIRECT("RC",FALSE)))</formula>
    </cfRule>
    <cfRule type="expression" priority="7" dxfId="8">
      <formula>ISNUMBER(SEARCH("▲",INDIRECT("RC",FALSE)))</formula>
    </cfRule>
  </conditionalFormatting>
  <conditionalFormatting sqref="D16:J16 D23:J23 D30:J30 BK11:BQ11 BK20:BP20">
    <cfRule type="notContainsBlanks" priority="8" dxfId="7">
      <formula>LEN(TRIM(D11))&gt;0</formula>
    </cfRule>
  </conditionalFormatting>
  <dataValidations count="2">
    <dataValidation sqref="X6:AQ6" showDropDown="0" showInputMessage="1" showErrorMessage="1" allowBlank="1" type="list">
      <formula1>DashboardDepartments</formula1>
    </dataValidation>
    <dataValidation sqref="B6:U6" showDropDown="0" showInputMessage="1" showErrorMessage="1" allowBlank="1" type="list">
      <formula1>DashboardSectors</formula1>
    </dataValidation>
  </dataValidations>
  <printOptions horizontalCentered="1" verticalCentered="1"/>
  <pageMargins left="0" right="0" top="0" bottom="0" header="0" footer="0"/>
  <pageSetup orientation="landscape" paperSize="8"/>
</worksheet>
</file>

<file path=xl/worksheets/sheet5.xml><?xml version="1.0" encoding="utf-8"?>
<worksheet xmlns="http://schemas.openxmlformats.org/spreadsheetml/2006/main">
  <sheetPr>
    <tabColor rgb="FF8D7C6A"/>
    <outlinePr summaryBelow="1" summaryRight="1"/>
    <pageSetUpPr/>
  </sheetPr>
  <dimension ref="A1:CX266"/>
  <sheetViews>
    <sheetView rightToLeft="1" zoomScaleNormal="100" workbookViewId="0">
      <selection activeCell="B2" sqref="B2"/>
    </sheetView>
  </sheetViews>
  <sheetFormatPr baseColWidth="8" defaultColWidth="9.140625" defaultRowHeight="15"/>
  <cols>
    <col width="23.85546875" customWidth="1" style="49" min="1" max="1"/>
    <col width="33.42578125" bestFit="1" customWidth="1" style="49" min="2" max="2"/>
    <col width="9.140625" customWidth="1" style="49" min="3" max="3"/>
    <col width="6.7109375" customWidth="1" style="49" min="4" max="4"/>
    <col width="7.5703125" customWidth="1" style="49" min="5" max="5"/>
    <col width="12.28515625" customWidth="1" style="49" min="6" max="6"/>
    <col width="4.5703125" customWidth="1" style="49" min="7" max="7"/>
    <col width="7.140625" bestFit="1" customWidth="1" style="49" min="8" max="8"/>
    <col width="10.28515625" bestFit="1" customWidth="1" style="49" min="9" max="9"/>
    <col width="5" bestFit="1" customWidth="1" style="49" min="10" max="10"/>
    <col width="9.140625" customWidth="1" style="49" min="11" max="11"/>
    <col width="11.85546875" customWidth="1" style="49" min="12" max="12"/>
    <col width="7.140625" bestFit="1" customWidth="1" style="49" min="13" max="13"/>
    <col width="8.140625" bestFit="1" customWidth="1" style="49" min="14" max="14"/>
    <col width="5" bestFit="1" customWidth="1" style="49" min="15" max="15"/>
    <col width="9.42578125" bestFit="1" customWidth="1" style="49" min="16" max="17"/>
    <col width="9.140625" customWidth="1" style="49" min="18" max="18"/>
    <col width="6.7109375" customWidth="1" style="49" min="19" max="19"/>
    <col width="9.140625" customWidth="1" style="49" min="20" max="20"/>
    <col width="13.140625" bestFit="1" customWidth="1" style="49" min="21" max="21"/>
    <col width="10" bestFit="1" customWidth="1" style="49" min="22" max="22"/>
    <col width="8.140625" bestFit="1" customWidth="1" style="49" min="23" max="23"/>
    <col width="9.140625" customWidth="1" style="49" min="24" max="25"/>
    <col width="4.85546875" bestFit="1" customWidth="1" style="49" min="26" max="26"/>
    <col width="9.140625" customWidth="1" style="49" min="27" max="27"/>
    <col width="9.42578125" bestFit="1" customWidth="1" style="49" min="28" max="28"/>
    <col width="5.28515625" bestFit="1" customWidth="1" style="49" min="29" max="29"/>
    <col width="4.5703125" bestFit="1" customWidth="1" style="49" min="30" max="30"/>
    <col width="5" bestFit="1" customWidth="1" style="49" min="31" max="31"/>
    <col width="9.140625" customWidth="1" style="49" min="32" max="32"/>
    <col width="12.7109375" customWidth="1" style="49" min="33" max="33"/>
    <col width="8.7109375" customWidth="1" style="49" min="34" max="35"/>
    <col width="12.5703125" customWidth="1" style="49" min="36" max="36"/>
    <col width="10.7109375" bestFit="1" customWidth="1" style="49" min="37" max="37"/>
    <col width="5.140625" bestFit="1" customWidth="1" style="49" min="38" max="38"/>
    <col width="5.140625" customWidth="1" style="49" min="39" max="39"/>
    <col width="5.140625" bestFit="1" customWidth="1" style="49" min="40" max="41"/>
    <col width="9.140625" customWidth="1" style="49" min="42" max="42"/>
    <col width="6.7109375" bestFit="1" customWidth="1" style="49" min="43" max="43"/>
    <col width="21.140625" bestFit="1" customWidth="1" style="49" min="44" max="44"/>
    <col width="20" bestFit="1" customWidth="1" style="49" min="45" max="45"/>
    <col width="18.7109375" customWidth="1" style="49" min="46" max="46"/>
    <col width="25.7109375" bestFit="1" customWidth="1" style="49" min="47" max="47"/>
    <col width="14.7109375" customWidth="1" style="49" min="48" max="48"/>
    <col width="9.85546875" bestFit="1" customWidth="1" style="49" min="49" max="49"/>
    <col width="19.5703125" bestFit="1" customWidth="1" style="49" min="50" max="50"/>
    <col width="19.28515625" customWidth="1" style="49" min="51" max="51"/>
    <col width="15.85546875" customWidth="1" style="49" min="52" max="52"/>
    <col width="18.140625" customWidth="1" style="49" min="53" max="53"/>
    <col width="13.7109375" customWidth="1" style="49" min="54" max="54"/>
    <col width="14.28515625" customWidth="1" style="49" min="55" max="55"/>
    <col width="15.28515625" customWidth="1" style="49" min="56" max="56"/>
    <col width="15.85546875" customWidth="1" style="49" min="57" max="57"/>
    <col width="17.28515625" customWidth="1" style="49" min="58" max="58"/>
    <col width="14.5703125" customWidth="1" style="49" min="59" max="59"/>
    <col width="15.140625" customWidth="1" style="49" min="60" max="60"/>
    <col width="18.85546875" customWidth="1" style="49" min="61" max="61"/>
    <col width="16" customWidth="1" style="49" min="62" max="62"/>
    <col width="16.5703125" customWidth="1" style="49" min="63" max="63"/>
    <col width="23.28515625" customWidth="1" style="49" min="64" max="64"/>
    <col width="20.42578125" bestFit="1" customWidth="1" style="49" min="65" max="65"/>
    <col width="21" bestFit="1" customWidth="1" style="49" min="66" max="66"/>
    <col width="19.7109375" bestFit="1" customWidth="1" style="49" min="67" max="67"/>
    <col width="19.7109375" customWidth="1" style="49" min="68" max="68"/>
    <col width="17" bestFit="1" customWidth="1" style="49" min="69" max="69"/>
    <col width="17.7109375" bestFit="1" customWidth="1" style="49" min="70" max="70"/>
    <col width="17.7109375" customWidth="1" style="49" min="71" max="73"/>
    <col width="9.140625" customWidth="1" style="49" min="74" max="74"/>
    <col width="9.140625" customWidth="1" style="49" min="76" max="77"/>
    <col width="9.140625" customWidth="1" style="49" min="78" max="78"/>
    <col width="9.140625" customWidth="1" style="49" min="79" max="88"/>
    <col width="9.140625" customWidth="1" style="49" min="89" max="89"/>
    <col width="50.7109375" customWidth="1" style="49" min="90" max="90"/>
    <col width="9.140625" customWidth="1" style="49" min="91" max="16384"/>
  </cols>
  <sheetData>
    <row r="1" customFormat="1" s="40">
      <c r="A1" s="51" t="inlineStr">
        <is>
          <t>Monthly Cutt-Off Date</t>
        </is>
      </c>
      <c r="B1" s="50" t="n">
        <v>46295</v>
      </c>
      <c r="D1" s="229" t="inlineStr">
        <is>
          <t>الأجندة</t>
        </is>
      </c>
      <c r="J1" s="229" t="n"/>
      <c r="L1" s="229" t="inlineStr">
        <is>
          <t>القرارات</t>
        </is>
      </c>
      <c r="S1" s="229" t="inlineStr">
        <is>
          <t>التشريعات</t>
        </is>
      </c>
      <c r="Y1" s="230" t="inlineStr">
        <is>
          <t>المشاريع الخاصة لسموه</t>
        </is>
      </c>
      <c r="Z1" s="267" t="n"/>
      <c r="AA1" s="267" t="n"/>
      <c r="AB1" s="267" t="n"/>
      <c r="AC1" s="229" t="inlineStr">
        <is>
          <t>المشاريع الخاصة</t>
        </is>
      </c>
      <c r="AG1" s="229" t="inlineStr">
        <is>
          <t>المشاريع</t>
        </is>
      </c>
      <c r="AQ1" s="229" t="inlineStr">
        <is>
          <t>استراتيجية_الأمانة</t>
        </is>
      </c>
      <c r="AT1" s="1" t="n"/>
      <c r="AU1" s="86" t="inlineStr">
        <is>
          <t>القطاع</t>
        </is>
      </c>
      <c r="AV1" s="86" t="inlineStr">
        <is>
          <t>الوحدة التنظيمية</t>
        </is>
      </c>
      <c r="AW1" s="86" t="inlineStr">
        <is>
          <t>الحالة</t>
        </is>
      </c>
      <c r="AX1" s="86" t="inlineStr">
        <is>
          <t>المؤشرات_المقاسة</t>
        </is>
      </c>
      <c r="AY1" s="86" t="inlineStr">
        <is>
          <t>متوسط_النتائج</t>
        </is>
      </c>
      <c r="AZ1" s="86" t="inlineStr">
        <is>
          <t>الخاصة_المجموع</t>
        </is>
      </c>
      <c r="BA1" s="86" t="inlineStr">
        <is>
          <t>سموه_منجز</t>
        </is>
      </c>
      <c r="BB1" s="86" t="inlineStr">
        <is>
          <t>سموه_متأخر</t>
        </is>
      </c>
      <c r="BC1" s="86" t="inlineStr">
        <is>
          <t>الخاصة_منجز</t>
        </is>
      </c>
      <c r="BD1" s="86" t="inlineStr">
        <is>
          <t>الخاصة_متأخر</t>
        </is>
      </c>
      <c r="BE1" s="86" t="inlineStr">
        <is>
          <t>الأجندة_المجموع</t>
        </is>
      </c>
      <c r="BF1" s="86" t="inlineStr">
        <is>
          <t>الأجندة_منجز</t>
        </is>
      </c>
      <c r="BG1" s="86" t="inlineStr">
        <is>
          <t>الأجندة_متأخر</t>
        </is>
      </c>
      <c r="BH1" s="86" t="inlineStr">
        <is>
          <t>القرارات_المجموع</t>
        </is>
      </c>
      <c r="BI1" s="86" t="inlineStr">
        <is>
          <t>القرارات_منجز</t>
        </is>
      </c>
      <c r="BJ1" s="86" t="inlineStr">
        <is>
          <t>القرارات_متأخر</t>
        </is>
      </c>
      <c r="BK1" s="86" t="inlineStr">
        <is>
          <t>مشاريع_الأمانة_المجموع</t>
        </is>
      </c>
      <c r="BL1" s="86" t="inlineStr">
        <is>
          <t>مشاريع_الأمانة_منجز</t>
        </is>
      </c>
      <c r="BM1" s="86" t="inlineStr">
        <is>
          <t>مشاريع_الأمانة_متأخر</t>
        </is>
      </c>
      <c r="BN1" s="86" t="inlineStr">
        <is>
          <t>التشريعات_المجموع</t>
        </is>
      </c>
      <c r="BO1" s="86" t="inlineStr">
        <is>
          <t>التشريعات_منجز</t>
        </is>
      </c>
      <c r="BP1" s="86" t="inlineStr">
        <is>
          <t>التشريعات_تجاوز الموعد</t>
        </is>
      </c>
      <c r="BQ1" s="86" t="inlineStr">
        <is>
          <t>التشريعات_متأخر</t>
        </is>
      </c>
      <c r="BR1" s="86" t="inlineStr">
        <is>
          <t>الموازنة المعتمدة</t>
        </is>
      </c>
      <c r="BS1" s="86" t="inlineStr">
        <is>
          <t>المنفق الفعلي</t>
        </is>
      </c>
      <c r="BT1" s="86" t="inlineStr">
        <is>
          <t>المخصص</t>
        </is>
      </c>
      <c r="BU1" s="86" t="inlineStr">
        <is>
          <t>غير المخصص</t>
        </is>
      </c>
      <c r="BV1" s="86" t="inlineStr">
        <is>
          <t>سموه_المجموع</t>
        </is>
      </c>
      <c r="BW1" s="86" t="inlineStr">
        <is>
          <t>الخاصة_المجموع_للأمانة</t>
        </is>
      </c>
      <c r="BX1" s="86" t="inlineStr">
        <is>
          <t>سموه_قيد_العمل</t>
        </is>
      </c>
      <c r="BY1" s="86" t="inlineStr">
        <is>
          <t>الخاصة_قيد_العمل</t>
        </is>
      </c>
      <c r="BZ1" s="86" t="inlineStr">
        <is>
          <t>الأجندة_الأصلية</t>
        </is>
      </c>
      <c r="CA1" s="86" t="inlineStr">
        <is>
          <t>الأجندة_مستجد</t>
        </is>
      </c>
      <c r="CB1" s="86" t="inlineStr">
        <is>
          <t>الأجندة_قيد_العمل</t>
        </is>
      </c>
      <c r="CC1" s="86" t="inlineStr">
        <is>
          <t>الأجندة_جاهز_للعرض</t>
        </is>
      </c>
      <c r="CD1" s="86" t="inlineStr">
        <is>
          <t>القرارات_قيد_العمل</t>
        </is>
      </c>
      <c r="CE1" s="86" t="inlineStr">
        <is>
          <t>مشاريع_الأمانة_قيد_العمل</t>
        </is>
      </c>
      <c r="CF1" s="86" t="inlineStr">
        <is>
          <t>مشاريع_الأمانة_ملغي_معلق</t>
        </is>
      </c>
      <c r="CG1" s="86" t="inlineStr">
        <is>
          <t>مشاريع_الأمانة_Q1</t>
        </is>
      </c>
      <c r="CH1" s="86" t="inlineStr">
        <is>
          <t>مشاريع_الأمانة_Q2</t>
        </is>
      </c>
      <c r="CI1" s="86" t="inlineStr">
        <is>
          <t>مشاريع_الأمانة_Q3</t>
        </is>
      </c>
      <c r="CJ1" s="86" t="inlineStr">
        <is>
          <t>مشاريع_الأمانة_Q4</t>
        </is>
      </c>
      <c r="CL1" s="86" t="inlineStr">
        <is>
          <t>ملاحظات تفصيلية حول مواضيع تستدعي المتابعة:</t>
        </is>
      </c>
    </row>
    <row r="2" customFormat="1" s="1">
      <c r="D2" s="41" t="inlineStr">
        <is>
          <t>المجموع</t>
        </is>
      </c>
      <c r="E2" s="41" t="inlineStr">
        <is>
          <t>من الأجندة</t>
        </is>
      </c>
      <c r="F2" s="41" t="inlineStr">
        <is>
          <t>ما يستجد</t>
        </is>
      </c>
      <c r="G2" s="41" t="inlineStr">
        <is>
          <t>جاهز للعرض</t>
        </is>
      </c>
      <c r="H2" s="41" t="inlineStr">
        <is>
          <t>قيد العمل</t>
        </is>
      </c>
      <c r="I2" s="41" t="inlineStr">
        <is>
          <t>منجز</t>
        </is>
      </c>
      <c r="J2" s="41" t="inlineStr">
        <is>
          <t>متأخر</t>
        </is>
      </c>
      <c r="L2" s="41" t="inlineStr">
        <is>
          <t>مجموع القرارت</t>
        </is>
      </c>
      <c r="M2" s="41" t="inlineStr">
        <is>
          <t>قيد العمل</t>
        </is>
      </c>
      <c r="N2" s="41" t="inlineStr">
        <is>
          <t>منجز</t>
        </is>
      </c>
      <c r="O2" s="41" t="inlineStr">
        <is>
          <t>متأخر</t>
        </is>
      </c>
      <c r="P2" s="41" t="inlineStr">
        <is>
          <t>قيد التطوير</t>
        </is>
      </c>
      <c r="Q2" s="41" t="inlineStr">
        <is>
          <t>قيد المراجعة</t>
        </is>
      </c>
      <c r="S2" s="41" t="inlineStr">
        <is>
          <t>المجموع</t>
        </is>
      </c>
      <c r="T2" s="41" t="inlineStr">
        <is>
          <t>قيد المراجعه</t>
        </is>
      </c>
      <c r="U2" s="41" t="inlineStr">
        <is>
          <t>منجز على الموعد</t>
        </is>
      </c>
      <c r="V2" s="41" t="inlineStr">
        <is>
          <t>تجاوز الموعد</t>
        </is>
      </c>
      <c r="W2" s="41" t="inlineStr">
        <is>
          <t>متأخر</t>
        </is>
      </c>
      <c r="Y2" s="41" t="inlineStr">
        <is>
          <t>المجموع</t>
        </is>
      </c>
      <c r="Z2" s="41" t="inlineStr">
        <is>
          <t>لسموه</t>
        </is>
      </c>
      <c r="AA2" s="41" t="inlineStr">
        <is>
          <t>منجز</t>
        </is>
      </c>
      <c r="AB2" s="41" t="inlineStr">
        <is>
          <t>متأخر</t>
        </is>
      </c>
      <c r="AC2" s="41" t="inlineStr">
        <is>
          <t>خاصة</t>
        </is>
      </c>
      <c r="AD2" s="41" t="inlineStr">
        <is>
          <t>منجز</t>
        </is>
      </c>
      <c r="AE2" s="41" t="inlineStr">
        <is>
          <t>متأخر</t>
        </is>
      </c>
      <c r="AG2" s="41" t="inlineStr">
        <is>
          <t>المجموع</t>
        </is>
      </c>
      <c r="AH2" s="41" t="inlineStr">
        <is>
          <t>قيد العمل</t>
        </is>
      </c>
      <c r="AI2" s="41" t="inlineStr">
        <is>
          <t>ملغي/معلق</t>
        </is>
      </c>
      <c r="AJ2" s="41" t="inlineStr">
        <is>
          <t>منجز</t>
        </is>
      </c>
      <c r="AK2" s="41" t="inlineStr">
        <is>
          <t>متأخر</t>
        </is>
      </c>
      <c r="AL2" s="41" t="inlineStr">
        <is>
          <t>ربع 1</t>
        </is>
      </c>
      <c r="AM2" s="41" t="inlineStr">
        <is>
          <t>ربع 2</t>
        </is>
      </c>
      <c r="AN2" s="41" t="inlineStr">
        <is>
          <t>ربع 3</t>
        </is>
      </c>
      <c r="AO2" s="41" t="inlineStr">
        <is>
          <t>ربع 4</t>
        </is>
      </c>
      <c r="AQ2" s="41" t="inlineStr">
        <is>
          <t>المجموع</t>
        </is>
      </c>
      <c r="AR2" s="41" t="inlineStr">
        <is>
          <t>متوسط النتائج المقاسة</t>
        </is>
      </c>
      <c r="AS2" s="41" t="inlineStr">
        <is>
          <t>متوسط المستهدفات المعتمدة</t>
        </is>
      </c>
      <c r="AU2" s="83" t="n"/>
      <c r="AV2" s="83" t="n"/>
      <c r="AW2" s="83" t="inlineStr">
        <is>
          <t>الشهر السابق</t>
        </is>
      </c>
      <c r="AX2" s="83">
        <f t="array" ref="AX2">SUMPRODUCT(
$AX$5:$AX$31*
IF($A$3="",1,--($AU$5:$AU$31=$A$3))*
IF($B$3="",1,--($AV$5:$AV$31=$B$3))
)</f>
        <v/>
      </c>
      <c r="AY2" s="83">
        <f t="array" ref="AY2">IFERROR(
_xlfn.LET(
_xlpm.weights,$AX$5:$AX$31,
_xlpm.results,$AY$5:$AY$31,
_xlpm.sectors,$AU$5:$AU$31,
_xlpm.units,$AV$5:$AV$31,
_xlpm.include,
ISNUMBER(_xlpm.results)*
(_xlpm.weights&gt;0)*
IF($A$3="",1,--(_xlpm.sectors=$A$3))*
IF($B$3="",1,--(_xlpm.units=$B$3)),
_xlpm.selectedWeights,_xlfn._xlws.FILTER(_xlpm.weights,_xlpm.include),
_xlpm.selectedResults,_xlfn._xlws.FILTER(_xlpm.results,_xlpm.include),
SUMPRODUCT(_xlpm.selectedWeights,_xlpm.selectedResults)/
SUM(_xlpm.selectedWeights)
),
""
)</f>
        <v/>
      </c>
      <c r="AZ2" s="83">
        <f t="array" ref="AZ2">SUMPRODUCT(
AZ$5:AZ$31*
IF($A$3="",1,--($AU$5:$AU$31=$A$3))*
IF($B$3="",1,--($AV$5:$AV$31=$B$3))
)</f>
        <v/>
      </c>
      <c r="BA2" s="83">
        <f t="array" ref="BA2">SUMPRODUCT(
BA$5:BA$31*
IF($A$3="",1,--($AU$5:$AU$31=$A$3))*
IF($B$3="",1,--($AV$5:$AV$31=$B$3))
)</f>
        <v/>
      </c>
      <c r="BB2" s="83">
        <f t="array" ref="BB2">SUMPRODUCT(
BB$5:BB$31*
IF($A$3="",1,--($AU$5:$AU$31=$A$3))*
IF($B$3="",1,--($AV$5:$AV$31=$B$3))
)</f>
        <v/>
      </c>
      <c r="BC2" s="83">
        <f t="array" ref="BC2">SUMPRODUCT(
BC$5:BC$31*
IF($A$3="",1,--($AU$5:$AU$31=$A$3))*
IF($B$3="",1,--($AV$5:$AV$31=$B$3))
)</f>
        <v/>
      </c>
      <c r="BD2" s="83">
        <f t="array" ref="BD2">SUMPRODUCT(
BD$5:BD$31*
IF($A$3="",1,--($AU$5:$AU$31=$A$3))*
IF($B$3="",1,--($AV$5:$AV$31=$B$3))
)</f>
        <v/>
      </c>
      <c r="BE2" s="83">
        <f t="array" ref="BE2">SUMPRODUCT(
BE$5:BE$31*
IF($A$3="",1,--($AU$5:$AU$31=$A$3))*
IF($B$3="",1,--($AV$5:$AV$31=$B$3))
)</f>
        <v/>
      </c>
      <c r="BF2" s="83">
        <f t="array" ref="BF2">SUMPRODUCT(
BF$5:BF$31*
IF($A$3="",1,--($AU$5:$AU$31=$A$3))*
IF($B$3="",1,--($AV$5:$AV$31=$B$3))
)</f>
        <v/>
      </c>
      <c r="BG2" s="83">
        <f t="array" ref="BG2">SUMPRODUCT(
BG$5:BG$31*
IF($A$3="",1,--($AU$5:$AU$31=$A$3))*
IF($B$3="",1,--($AV$5:$AV$31=$B$3))
)</f>
        <v/>
      </c>
      <c r="BH2" s="83">
        <f t="array" ref="BH2">SUMPRODUCT(
BH$5:BH$31*
IF($A$3="",1,--($AU$5:$AU$31=$A$3))*
IF($B$3="",1,--($AV$5:$AV$31=$B$3))
)</f>
        <v/>
      </c>
      <c r="BI2" s="83">
        <f t="array" ref="BI2">SUMPRODUCT(
BI$5:BI$31*
IF($A$3="",1,--($AU$5:$AU$31=$A$3))*
IF($B$3="",1,--($AV$5:$AV$31=$B$3))
)</f>
        <v/>
      </c>
      <c r="BJ2" s="83">
        <f t="array" ref="BJ2">SUMPRODUCT(
BJ$5:BJ$31*
IF($A$3="",1,--($AU$5:$AU$31=$A$3))*
IF($B$3="",1,--($AV$5:$AV$31=$B$3))
)</f>
        <v/>
      </c>
      <c r="BK2" s="83">
        <f t="array" ref="BK2">SUMPRODUCT(
BK$5:BK$31*
IF($A$3="",1,--($AU$5:$AU$31=$A$3))*
IF($B$3="",1,--($AV$5:$AV$31=$B$3))
)</f>
        <v/>
      </c>
      <c r="BL2" s="83">
        <f t="array" ref="BL2">SUMPRODUCT(
BL$5:BL$31*
IF($A$3="",1,--($AU$5:$AU$31=$A$3))*
IF($B$3="",1,--($AV$5:$AV$31=$B$3))
)</f>
        <v/>
      </c>
      <c r="BM2" s="83">
        <f t="array" ref="BM2">SUMPRODUCT(
BM$5:BM$31*
IF($A$3="",1,--($AU$5:$AU$31=$A$3))*
IF($B$3="",1,--($AV$5:$AV$31=$B$3))
)</f>
        <v/>
      </c>
      <c r="BN2" s="83">
        <f t="array" ref="BN2">SUMPRODUCT(
BN$5:BN$31*
IF($A$3="",1,--($AU$5:$AU$31=$A$3))*
IF($B$3="",1,--($AV$5:$AV$31=$B$3))
)</f>
        <v/>
      </c>
      <c r="BO2" s="83">
        <f t="array" ref="BO2">SUMPRODUCT(
BO$5:BO$31*
IF($A$3="",1,--($AU$5:$AU$31=$A$3))*
IF($B$3="",1,--($AV$5:$AV$31=$B$3))
)</f>
        <v/>
      </c>
      <c r="BP2" s="83">
        <f t="array" ref="BP2">SUMPRODUCT(
BP$5:BP$31*
IF($A$3="",1,--($AU$5:$AU$31=$A$3))*
IF($B$3="",1,--($AV$5:$AV$31=$B$3))
)</f>
        <v/>
      </c>
      <c r="BQ2" s="83">
        <f t="array" ref="BQ2">SUMPRODUCT(
BQ$5:BQ$31*
IF($A$3="",1,--($AU$5:$AU$31=$A$3))*
IF($B$3="",1,--($AV$5:$AV$31=$B$3))
)</f>
        <v/>
      </c>
      <c r="BR2" s="83">
        <f t="array" ref="BR2">SUMPRODUCT(
BR$5:BR$31*
IF($A$3="",1,--($AU$5:$AU$31=$A$3))*
IF($B$3="",1,--($AV$5:$AV$31=$B$3))
)</f>
        <v/>
      </c>
      <c r="BS2" s="83">
        <f t="array" ref="BS2">SUMPRODUCT(
BS$5:BS$31*
IF($A$3="",1,--($AU$5:$AU$31=$A$3))*
IF($B$3="",1,--($AV$5:$AV$31=$B$3))
)</f>
        <v/>
      </c>
      <c r="BT2" s="83">
        <f t="array" ref="BT2">SUMPRODUCT(
BT$5:BT$31*
IF($A$3="",1,--($AU$5:$AU$31=$A$3))*
IF($B$3="",1,--($AV$5:$AV$31=$B$3))
)</f>
        <v/>
      </c>
      <c r="BU2" s="83">
        <f t="array" ref="BU2">SUMPRODUCT(
BU$5:BU$31*
IF($A$3="",1,--($AU$5:$AU$31=$A$3))*
IF($B$3="",1,--($AV$5:$AV$31=$B$3))
)</f>
        <v/>
      </c>
      <c r="BV2" s="83">
        <f t="array" ref="BV2">SUMPRODUCT(
BV$5:BV$31*
IF($A$3="",1,--($AU$5:$AU$31=$A$3))*
IF($B$3="",1,--($AV$5:$AV$31=$B$3))
)</f>
        <v/>
      </c>
      <c r="BW2" s="83">
        <f t="array" ref="BW2">SUMPRODUCT(
BW$5:BW$31*
IF($A$3="",1,--($AU$5:$AU$31=$A$3))*
IF($B$3="",1,--($AV$5:$AV$31=$B$3))
)</f>
        <v/>
      </c>
      <c r="BX2" s="83">
        <f t="array" ref="BX2">SUMPRODUCT(
BX$5:BX$31*
IF($A$3="",1,--($AU$5:$AU$31=$A$3))*
IF($B$3="",1,--($AV$5:$AV$31=$B$3))
)</f>
        <v/>
      </c>
      <c r="BY2" s="83">
        <f t="array" ref="BY2">SUMPRODUCT(
BY$5:BY$31*
IF($A$3="",1,--($AU$5:$AU$31=$A$3))*
IF($B$3="",1,--($AV$5:$AV$31=$B$3))
)</f>
        <v/>
      </c>
      <c r="BZ2" s="83">
        <f t="array" ref="BZ2">SUMPRODUCT(
BZ$5:BZ$31*
IF($A$3="",1,--($AU$5:$AU$31=$A$3))*
IF($B$3="",1,--($AV$5:$AV$31=$B$3))
)</f>
        <v/>
      </c>
      <c r="CA2" s="83">
        <f t="array" ref="CA2">SUMPRODUCT(
CA$5:CA$31*
IF($A$3="",1,--($AU$5:$AU$31=$A$3))*
IF($B$3="",1,--($AV$5:$AV$31=$B$3))
)</f>
        <v/>
      </c>
      <c r="CB2" s="83">
        <f t="array" ref="CB2">SUMPRODUCT(
CB$5:CB$31*
IF($A$3="",1,--($AU$5:$AU$31=$A$3))*
IF($B$3="",1,--($AV$5:$AV$31=$B$3))
)</f>
        <v/>
      </c>
      <c r="CC2" s="83">
        <f t="array" ref="CC2">SUMPRODUCT(
CC$5:CC$31*
IF($A$3="",1,--($AU$5:$AU$31=$A$3))*
IF($B$3="",1,--($AV$5:$AV$31=$B$3))
)</f>
        <v/>
      </c>
      <c r="CD2" s="83">
        <f t="array" ref="CD2">SUMPRODUCT(
CD$5:CD$31*
IF($A$3="",1,--($AU$5:$AU$31=$A$3))*
IF($B$3="",1,--($AV$5:$AV$31=$B$3))
)</f>
        <v/>
      </c>
      <c r="CE2" s="83">
        <f t="array" ref="CE2">SUMPRODUCT(
CE$5:CE$31*
IF($A$3="",1,--($AU$5:$AU$31=$A$3))*
IF($B$3="",1,--($AV$5:$AV$31=$B$3))
)</f>
        <v/>
      </c>
      <c r="CF2" s="83">
        <f t="array" ref="CF2">SUMPRODUCT(
CF$5:CF$31*
IF($A$3="",1,--($AU$5:$AU$31=$A$3))*
IF($B$3="",1,--($AV$5:$AV$31=$B$3))
)</f>
        <v/>
      </c>
      <c r="CG2" s="83">
        <f t="array" ref="CG2">SUMPRODUCT(
CG$5:CG$31*
IF($A$3="",1,--($AU$5:$AU$31=$A$3))*
IF($B$3="",1,--($AV$5:$AV$31=$B$3))
)</f>
        <v/>
      </c>
      <c r="CH2" s="83">
        <f t="array" ref="CH2">SUMPRODUCT(
CH$5:CH$31*
IF($A$3="",1,--($AU$5:$AU$31=$A$3))*
IF($B$3="",1,--($AV$5:$AV$31=$B$3))
)</f>
        <v/>
      </c>
      <c r="CI2" s="83">
        <f t="array" ref="CI2">SUMPRODUCT(
CI$5:CI$31*
IF($A$3="",1,--($AU$5:$AU$31=$A$3))*
IF($B$3="",1,--($AV$5:$AV$31=$B$3))
)</f>
        <v/>
      </c>
      <c r="CJ2" s="83">
        <f t="array" ref="CJ2">SUMPRODUCT(
CJ$5:CJ$31*
IF($A$3="",1,--($AU$5:$AU$31=$A$3))*
IF($B$3="",1,--($AV$5:$AV$31=$B$3))
)</f>
        <v/>
      </c>
      <c r="CL2" s="3">
        <f t="array" ref="CL2">_xlfn.LET(
_xlpm.sector,$A$3,
_xlpm.dept,$B$3,
_xlpm.tidy,_xlfn.LAMBDA(_xlpm.x,
TRIM(
SUBSTITUTE(
SUBSTITUTE(
SUBSTITUTE(_xlpm.x,CHAR(160)," "),
CHAR(10)," "),
CHAR(13)," ")
)
),
_xlpm.mkline,_xlfn.LAMBDA(_xlpm.src,_xlpm.department,_xlpm.sourceSector,_xlpm.topic,_xlpm.status,_xlpm.update,
_xlpm.src&amp;" - "&amp;
_xlpm.tidy(_xlpm.status)&amp;" - "&amp;
IF(_xlpm.tidy(_xlpm.department)="",_xlpm.tidy(_xlpm.sourceSector),_xlpm.tidy(_xlpm.department))&amp;
" - "&amp;_xlpm.tidy(_xlpm.topic)&amp;
IF(_xlpm.tidy(_xlpm.update)="",""," - "&amp;_xlpm.tidy(_xlpm.update))
),
_xlpm.special,_xlfn._xlws.FILTER(
_xlpm.mkline(
"المشاريع الخاصة",
Special[[الإدارة ]],
Special[القطاع],
Special[اسم المشروع],
Special[مستوى الإنجاز],
Special[ملاحظات مدير المشروع]
),
(Special[اسم المشروع]&lt;&gt;"")*
ISNUMBER(
_xlfn.XMATCH(
Special[مستوى الإنجاز],
{"متأخر","معلق","ملغى"}
)
)*
IF(_xlpm.sector="",1,--(Special[القطاع]=_xlpm.sector))*
IF(_xlpm.dept="",1,--(Special[[الإدارة ]]=_xlpm.dept)),
""
),
_xlpm.projects,_xlfn._xlws.FILTER(
_xlpm.mkline(
"مشاريع الأمانة",
Projects[[الإدارة ]],
Projects[القطاع],
Projects[اسم المشروع],
IF(
Projects[مستوى الإنجاز]="Cancelled",
"ملغى",
IF(
Projects[مستوى الإنجاز]="Frozen",
"معلق",
IF(
Projects[مستوى الإنجاز]="Transferred",
"منقول",
"متأخر"
)
)
),
Projects[ملاحظات مدير المشروع]
),
(Projects[اسم المشروع]&lt;&gt;"")*
(
(
(Projects[Late KPI]="Late")+
(Projects[مستوى الإنجاز]="Frozen")+
(Projects[مستوى الإنجاز]="Cancelled")+
(Projects[مستوى الإنجاز]="Transferred")
)&gt;0
)*
IF(_xlpm.sector="",1,--(Projects[القطاع]=_xlpm.sector))*
IF(_xlpm.dept="",1,--(Projects[[الإدارة ]]=_xlpm.dept)),
""
),
_xlpm.agenda,_xlfn._xlws.FILTER(
_xlpm.mkline(
"الأجندة السنوية",
ECSAC[الإدارة],
ECSAC[القطاع],
ECSAC[[الموضوع ]],
ECSAC[مستوى الإنجاز],
ECSAC[ملاحظات فريق الأمانة العامة]
),
(ECSAC[[الموضوع ]]&lt;&gt;"")*
ISNUMBER(
_xlfn.XMATCH(
ECSAC[مستوى الإنجاز],
{"متأخر","معلق","ملغى"}
)
)*
IF(_xlpm.sector="",1,--(ECSAC[القطاع]=_xlpm.sector))*
IF(_xlpm.dept="",1,--(ECSAC[الإدارة]=_xlpm.dept)),
""
),
_xlpm.decisions,_xlfn._xlws.FILTER(
_xlpm.mkline(
"القرارات",
Resolutions[الإدارة],
Resolutions[القطاع],
Resolutions[الموضوع],
Resolutions[مستوى الإنجاز],
Resolutions[ملاحظات]
),
(Resolutions[الموضوع]&lt;&gt;"")*
(
(
(TRIM(SUBSTITUTE(Resolutions[متطلبات المتابعة],CHAR(160)," "))="رسالة رسمية")+
(TRIM(SUBSTITUTE(Resolutions[متطلبات المتابعة],CHAR(160)," "))="بريد من الوحدة التنظيمية")
)&gt;0
)*
ISNUMBER(
_xlfn.XMATCH(
TRIM(SUBSTITUTE(Resolutions[مستوى الإنجاز],CHAR(160)," ")),
{"متأخر","معلق","ملغى"}
)
)*
IF(
_xlpm.sector="",
1,
--(
TRIM(SUBSTITUTE(Resolutions[القطاع],CHAR(160)," "))=
TRIM(SUBSTITUTE(_xlpm.sector,CHAR(160)," "))
)
)*
IF(
_xlpm.dept="",
1,
--(
TRIM(SUBSTITUTE(Resolutions[الإدارة],CHAR(160)," "))=
TRIM(SUBSTITUTE(_xlpm.dept,CHAR(160)," "))
)
),
""
),
_xlpm.laws,_xlfn._xlws.FILTER(
_xlpm.mkline(
"التشريعات",
Legislations[الإدارة],
Legislations[القطاع],
Legislations[[عنوان التشريع ]],
"متأخر",
Legislations[[مستجدات ]]
),
(Legislations[[عنوان التشريع ]]&lt;&gt;"")*
(Legislations[Late KPI]="متأخر")*
IF(_xlpm.sector="",1,--(Legislations[القطاع]=_xlpm.sector))*
IF(_xlpm.dept="",1,--(Legislations[الإدارة]=_xlpm.dept)),
""
),
_xlpm.items,_xlfn.VSTACK(
_xlpm.special,
_xlpm.projects,
_xlpm.agenda,
_xlpm.decisions,
_xlpm.laws
),
_xlpm.filtered,_xlfn._xlws.FILTER(
_xlpm.items,
_xlpm.items&lt;&gt;"",
""
),
IF(
_xlpm.filtered="",
"لا توجد مواضيع تتطلب المتابعة",
_xlfn.SEQUENCE(ROWS(_xlpm.filtered))&amp;". "&amp;_xlpm.filtered
)
)</f>
        <v/>
      </c>
    </row>
    <row r="3" customFormat="1" s="1">
      <c r="A3" s="42">
        <f>IF(Performance!B6="","",Performance!B6)</f>
        <v/>
      </c>
      <c r="B3" s="42">
        <f>IF(Performance!X6="","", Performance!X6)</f>
        <v/>
      </c>
      <c r="D3" s="41">
        <f t="array" ref="D3">SUMPRODUCT(
    (--(ECSAC[[الموضوع ]]&lt;&gt;"")) *
    (IF($A$3="", 1, --(ECSAC[القطاع]=$A$3))) *
    (IF($B$3="", 1, --(ECSAC[الإدارة]=$B$3)))
)</f>
        <v/>
      </c>
      <c r="E3" s="41">
        <f t="array" ref="E3">SUMPRODUCT(
    (--(ECSAC[تصنيف الموضوع]="الأجندة السنوية")) *
    (IF($A$3="", 1, --(ECSAC[القطاع]=$A$3))) *
    (IF($B$3="", 1, --(ECSAC[الإدارة]=$B$3)))
)</f>
        <v/>
      </c>
      <c r="F3" s="41">
        <f t="array" ref="F3">SUMPRODUCT(
    (--(ECSAC[تصنيف الموضوع]="مستجد")) *
    (IF($A$3="",1,--(ECSAC[القطاع]=$A$3))) *
    (IF($B$3="",1,--(ECSAC[الإدارة]=$B$3)))
)</f>
        <v/>
      </c>
      <c r="G3" s="41">
        <f t="array" ref="G3">SUMPRODUCT(
    (--(ECSAC[مستوى الإنجاز]="جاهز للعرض")) *
    (IF($A$3="", 1, --(ECSAC[القطاع]=$A$3))) *
    (IF($B$3="", 1, --(ECSAC[الإدارة]=$B$3)))
)</f>
        <v/>
      </c>
      <c r="H3" s="41">
        <f t="array" ref="H3">SUMPRODUCT(
--(((ECSAC[مستوى الإنجاز]="قيد التطوير")+
(ECSAC[مستوى الإنجاز]="قيد المراجعة"))&gt;0)*
IF($A$3="",1,--(ECSAC[القطاع]=$A$3))*
IF($B$3="",1,--(ECSAC[الإدارة]=$B$3))
)</f>
        <v/>
      </c>
      <c r="I3" s="41">
        <f t="array" ref="I3">SUMPRODUCT(
    (--(ECSAC[مستوى الإنجاز]="منجز")) *
    (IF($A$3="", 1, --(ECSAC[القطاع]=$A$3))) *
    (IF($B$3="", 1, --(ECSAC[الإدارة]=$B$3)))
)</f>
        <v/>
      </c>
      <c r="J3" s="41">
        <f t="array" ref="J3">SUMPRODUCT(
    (--(ECSAC[مستوى الإنجاز]="متأخر")) *
    (IF($A$3="", 1, --(ECSAC[القطاع]=$A$3))) *
    (IF($B$3="", 1, --(ECSAC[الإدارة]=$B$3)))
)</f>
        <v/>
      </c>
      <c r="L3" s="41">
        <f t="array" ref="L3">_xlfn.LET(
_xlpm.topic,IFERROR(Resolutions[الموضوع],""),
_xlpm.followup,TRIM(SUBSTITUTE(IFERROR(Resolutions[متطلبات المتابعة],""),CHAR(160)," ")),
_xlpm.sector,TRIM(SUBSTITUTE(IFERROR(Resolutions[القطاع],""),CHAR(160)," ")),
_xlpm.dept,TRIM(SUBSTITUTE(IFERROR(Resolutions[الإدارة],""),CHAR(160)," ")),
_xlpm.selectedSector,TRIM(SUBSTITUTE(IFERROR($A$3,""),CHAR(160)," ")),
_xlpm.selectedDept,TRIM(SUBSTITUTE(IFERROR($B$3,""),CHAR(160)," ")),
SUMPRODUCT(
--(_xlpm.topic&lt;&gt;"")*
--(
(
(_xlpm.followup="رسالة رسمية")+
(_xlpm.followup="بريد من الوحدة التنظيمية")
)&gt;0
)*
--(((_xlpm.selectedSector="")+(_xlpm.sector=_xlpm.selectedSector))&gt;0)*
--(((_xlpm.selectedDept="")+(_xlpm.dept=_xlpm.selectedDept))&gt;0)
)
)</f>
        <v/>
      </c>
      <c r="M3" s="41">
        <f>SUM(P3:Q3)</f>
        <v/>
      </c>
      <c r="N3" s="41">
        <f t="array" ref="N3">_xlfn.LET(
_xlpm.topic,IFERROR(Resolutions[الموضوع],""),
_xlpm.followup,TRIM(SUBSTITUTE(IFERROR(Resolutions[متطلبات المتابعة],""),CHAR(160)," ")),
_xlpm.status,TRIM(SUBSTITUTE(IFERROR(Resolutions[مستوى الإنجاز],""),CHAR(160)," ")),
_xlpm.sector,TRIM(SUBSTITUTE(IFERROR(Resolutions[القطاع],""),CHAR(160)," ")),
_xlpm.dept,TRIM(SUBSTITUTE(IFERROR(Resolutions[الإدارة],""),CHAR(160)," ")),
_xlpm.selectedSector,TRIM(SUBSTITUTE(IFERROR($A$3,""),CHAR(160)," ")),
_xlpm.selectedDept,TRIM(SUBSTITUTE(IFERROR($B$3,""),CHAR(160)," ")),
SUMPRODUCT(
--(_xlpm.topic&lt;&gt;"")*
--(
(
(_xlpm.followup="رسالة رسمية")+
(_xlpm.followup="بريد من الوحدة التنظيمية")
)&gt;0
)*
--(_xlpm.status="منجز")*
--(((_xlpm.selectedSector="")+(_xlpm.sector=_xlpm.selectedSector))&gt;0)*
--(((_xlpm.selectedDept="")+(_xlpm.dept=_xlpm.selectedDept))&gt;0)
)
)</f>
        <v/>
      </c>
      <c r="O3" s="41">
        <f t="array" ref="O3">_xlfn.LET(
_xlpm.topic,IFERROR(Resolutions[الموضوع],""),
_xlpm.followup,TRIM(SUBSTITUTE(IFERROR(Resolutions[متطلبات المتابعة],""),CHAR(160)," ")),
_xlpm.status,TRIM(SUBSTITUTE(IFERROR(Resolutions[مستوى الإنجاز],""),CHAR(160)," ")),
_xlpm.sector,TRIM(SUBSTITUTE(IFERROR(Resolutions[القطاع],""),CHAR(160)," ")),
_xlpm.dept,TRIM(SUBSTITUTE(IFERROR(Resolutions[الإدارة],""),CHAR(160)," ")),
_xlpm.selectedSector,TRIM(SUBSTITUTE(IFERROR($A$3,""),CHAR(160)," ")),
_xlpm.selectedDept,TRIM(SUBSTITUTE(IFERROR($B$3,""),CHAR(160)," ")),
SUMPRODUCT(
--(_xlpm.topic&lt;&gt;"")*
--(
(
(_xlpm.followup="رسالة رسمية")+
(_xlpm.followup="بريد من الوحدة التنظيمية")
)&gt;0
)*
--(_xlpm.status="متأخر")*
--(((_xlpm.selectedSector="")+(_xlpm.sector=_xlpm.selectedSector))&gt;0)*
--(((_xlpm.selectedDept="")+(_xlpm.dept=_xlpm.selectedDept))&gt;0)
)
)</f>
        <v/>
      </c>
      <c r="P3" s="41">
        <f t="array" ref="P3">_xlfn.LET(
 _xlpm.topic,IFERROR(Resolutions[الموضوع],""),
 _xlpm.followup,TRIM(SUBSTITUTE(IFERROR(Resolutions[متطلبات المتابعة],""),CHAR(160)," ")),
 _xlpm.itemStatus,TRIM(SUBSTITUTE(IFERROR(Resolutions[مستوى الإنجاز],""),CHAR(160)," ")),
 _xlpm.sector,TRIM(SUBSTITUTE(IFERROR(Resolutions[القطاع],""),CHAR(160)," ")),
 _xlpm.dept,TRIM(SUBSTITUTE(IFERROR(Resolutions[الإدارة],""),CHAR(160)," ")),
 _xlpm.selSector,TRIM(SUBSTITUTE(IFERROR($A$3,""),CHAR(160)," ")),
 _xlpm.selDept,TRIM(SUBSTITUTE(IFERROR($B$3,""),CHAR(160)," ")),
 SUMPRODUCT(
  --(_xlpm.topic&lt;&gt;""),
  --(((_xlpm.followup="رسالة رسمية")+(_xlpm.followup="بريد من الوحدة التنظيمية"))&gt;0),
  --(_xlpm.itemStatus="قيد التطوير"),
  --(((_xlpm.selSector="")+(_xlpm.sector=_xlpm.selSector))&gt;0),
  --(((_xlpm.selDept="")+(_xlpm.dept=_xlpm.selDept))&gt;0)
 )
)</f>
        <v/>
      </c>
      <c r="Q3" s="41">
        <f t="array" ref="Q3">_xlfn.LET(
 _xlpm.topic,IFERROR(Resolutions[الموضوع],""),
 _xlpm.followup,TRIM(SUBSTITUTE(IFERROR(Resolutions[متطلبات المتابعة],""),CHAR(160)," ")),
 _xlpm.itemStatus,TRIM(SUBSTITUTE(IFERROR(Resolutions[مستوى الإنجاز],""),CHAR(160)," ")),
 _xlpm.sector,TRIM(SUBSTITUTE(IFERROR(Resolutions[القطاع],""),CHAR(160)," ")),
 _xlpm.dept,TRIM(SUBSTITUTE(IFERROR(Resolutions[الإدارة],""),CHAR(160)," ")),
 _xlpm.selSector,TRIM(SUBSTITUTE(IFERROR($A$3,""),CHAR(160)," ")),
 _xlpm.selDept,TRIM(SUBSTITUTE(IFERROR($B$3,""),CHAR(160)," ")),
 SUMPRODUCT(
  --(_xlpm.topic&lt;&gt;""),
  --(((_xlpm.followup="رسالة رسمية")+(_xlpm.followup="بريد من الوحدة التنظيمية"))&gt;0),
  --(_xlpm.itemStatus="قيد المراجعة"),
  --(((_xlpm.selSector="")+(_xlpm.sector=_xlpm.selSector))&gt;0),
  --(((_xlpm.selDept="")+(_xlpm.dept=_xlpm.selDept))&gt;0)
 )
)</f>
        <v/>
      </c>
      <c r="S3" s="41">
        <f t="array" ref="S3">SUMPRODUCT(
    (--(Legislations[[عنوان التشريع ]]&lt;&gt;"")) *
    (IF($A$3="", 1, --(Legislations[القطاع]=$A$3))) *
    (IF($B$3="", 1, --(Legislations[الإدارة]=$B$3)))
)</f>
        <v/>
      </c>
      <c r="T3" s="41">
        <f t="array" ref="T3">SUMPRODUCT(
    (--(Legislations[مؤشرات الأداء]="قيد الإجراء")) *
    (IF($A$3="", 1, --(Legislations[القطاع]=$A$3))) *
    (IF($B$3="", 1, --(Legislations[الإدارة]=$B$3)))
)</f>
        <v/>
      </c>
      <c r="U3" s="41">
        <f t="array" ref="U3">SUMPRODUCT(
    (--(Legislations[مؤشرات الأداء]="في الموعد")) *
    (IF($A$3="", 1, --(Legislations[القطاع]=$A$3))) *
    (IF($B$3="", 1, --(Legislations[الإدارة]=$B$3)))
)-SUMPRODUCT(
    (--(Legislations[تجاوز الموعد]="متأخر")) *
    (IF($A$3="", 1, --(Legislations[القطاع]=$A$3))) *
    (IF($B$3="", 1, --(Legislations[الإدارة]=$B$3)))
)</f>
        <v/>
      </c>
      <c r="V3" s="41">
        <f t="array" ref="V3">SUMPRODUCT(
    (--(Legislations[تجاوز الموعد]="متأخر")) *
    (IF($A$3="", 1, --(Legislations[القطاع]=$A$3))) *
    (IF($B$3="", 1, --(Legislations[الإدارة]=$B$3)))
)</f>
        <v/>
      </c>
      <c r="W3" s="41">
        <f t="array" ref="W3">SUMPRODUCT(
    (--(Legislations[Late KPI]="متأخر")) *
    (IF($A$3="", 1, --(Legislations[القطاع]=$A$3))) *
    (IF($B$3="", 1, --(Legislations[الإدارة]=$B$3)))
)</f>
        <v/>
      </c>
      <c r="Y3" s="41">
        <f t="array" ref="Y3">SUMPRODUCT(
--(Special[اسم المشروع]&lt;&gt;"")*
IF(
$A$3="",
1,
--(Special[القطاع]=$A$3)
)*
IF(
$B$3="",
1,
--(Special[[الإدارة ]]=$B$3)
)
)</f>
        <v/>
      </c>
      <c r="Z3" s="41">
        <f t="array" ref="Z3">SUMPRODUCT(
    (--(Special[مشاريع سموه]="نعم")) *
    (IF($A$3="", 1, --(Special[القطاع]=$A$3))) *
    (IF($B$3="", 1, --(Special[[الإدارة ]]=$B$3)))
)</f>
        <v/>
      </c>
      <c r="AA3" s="41">
        <f t="array" ref="AA3">SUMPRODUCT(
    (--(Special[مستوى الإنجاز]="منجز")) *
(--(Special[مشاريع سموه]="نعم")) *
    (IF($A$3="", 1, --(Special[القطاع]=$A$3))) *
    (IF($B$3="", 1, --(Special[[الإدارة ]]=$B$3)))
)</f>
        <v/>
      </c>
      <c r="AB3" s="41">
        <f t="array" ref="AB3">SUMPRODUCT(
  (--(Special[مستوى الإنجاز]="متأخر")) *
  (--(Special[مشاريع سموه]="نعم")) *
  (IF($A$3="", 1, --(Special[القطاع]=$A$3))) *
  (IF($B$3="", 1, --(Special[[الإدارة ]]=$B$3)))
)</f>
        <v/>
      </c>
      <c r="AC3" s="41">
        <f t="array" ref="AC3">SUMPRODUCT(
    (--(Special[مشاريع سموه]="لا")) *
    (IF($A$3="", 1, --(Special[القطاع]=$A$3))) *
    (IF($B$3="", 1, --(Special[[الإدارة ]]=$B$3)))
)</f>
        <v/>
      </c>
      <c r="AD3" s="41">
        <f t="array" ref="AD3">SUMPRODUCT(
    (--(Special[مستوى الإنجاز]="منجز")) * (--(Special[مشاريع سموه]="لا")) *
    (IF($A$3="", 1, --(Special[القطاع]=$A$3))) *
    (IF($B$3="", 1, --(Special[[الإدارة ]]=$B$3)))
)</f>
        <v/>
      </c>
      <c r="AE3" s="41">
        <f t="array" ref="AE3">SUMPRODUCT(
  (--(Special[مستوى الإنجاز]="متأخر")) *
  (--(Special[مشاريع سموه]="لا")) *
  (IF($A$3="", 1, --(Special[القطاع]=$A$3))) *
  (IF($B$3="", 1, --(Special[[الإدارة ]]=$B$3)))
)</f>
        <v/>
      </c>
      <c r="AG3" s="41">
        <f t="array" ref="AG3">SUMPRODUCT(
    (--(Projects[اسم المشروع]&lt;&gt;"")) *
    (IF($A$3="", 1, --(Projects[القطاع]=$A$3))) *
    (IF($B$3="", 1, --(Projects[[الإدارة ]]=$B$3)))
)</f>
        <v/>
      </c>
      <c r="AH3" s="41">
        <f t="array" ref="AH3">SUMPRODUCT(
    (--(Projects[مستوى الإنجاز]="Active")) *
    (IF($A$3="", 1, --(Projects[القطاع]=$A$3))) *
    (IF($B$3="", 1, --(Projects[[الإدارة ]]=$B$3)))
)</f>
        <v/>
      </c>
      <c r="AI3" s="41">
        <f t="array" ref="AI3">SUMPRODUCT(
--(((Projects[مستوى الإنجاز]="Cancelled")+
(Projects[مستوى الإنجاز]="Frozen"))&gt;0)*
IF($A$3="",1,--(Projects[القطاع]=$A$3))*
IF($B$3="",1,--(Projects[[الإدارة ]]=$B$3))
)</f>
        <v/>
      </c>
      <c r="AJ3" s="41">
        <f t="array" ref="AJ3">SUMPRODUCT(
    (--(Projects[مستوى الإنجاز]="Completed")) *
    (IF($A$3="", 1, --(Projects[القطاع]=$A$3))) *
    (IF($B$3="", 1, --(Projects[[الإدارة ]]=$B$3)))
)</f>
        <v/>
      </c>
      <c r="AK3" s="41">
        <f t="array" ref="AK3">SUMPRODUCT(
    (--(Projects[Late KPI]="Late")) *
    (IF($A$3="", 1, --(Projects[القطاع]=$A$3))) *
    (IF($B$3="", 1, --(Projects[[الإدارة ]]=$B$3)))
)</f>
        <v/>
      </c>
      <c r="AL3" s="41">
        <f t="array" ref="AL3">SUMPRODUCT(
    (--(Projects[الربع]="Q1")) *
    (IF($A$3="", 1, --(Projects[القطاع]=$A$3))) *
    (IF($B$3="", 1, --(Projects[[الإدارة ]]=$B$3)))
)</f>
        <v/>
      </c>
      <c r="AM3" s="41">
        <f t="array" ref="AM3">SUMPRODUCT(
    (--(Projects[الربع]="Q2")) *
    (IF($A$3="", 1, --(Projects[القطاع]=$A$3))) *
    (IF($B$3="", 1, --(Projects[[الإدارة ]]=$B$3)))
)</f>
        <v/>
      </c>
      <c r="AN3" s="41">
        <f t="array" ref="AN3">SUMPRODUCT(
    (--(Projects[الربع]="Q3")) *
    (IF($A$3="", 1, --(Projects[القطاع]=$A$3))) *
    (IF($B$3="", 1, --(Projects[[الإدارة ]]=$B$3)))
)</f>
        <v/>
      </c>
      <c r="AO3" s="41">
        <f t="array" ref="AO3">SUMPRODUCT(
    (--(Projects[الربع]="Q4")) *
    (IF($A$3="", 1, --(Projects[القطاع]=$A$3))) *
    (IF($B$3="", 1, --(Projects[[الإدارة ]]=$B$3)))
)</f>
        <v/>
      </c>
      <c r="AQ3" s="99">
        <f t="array" ref="AQ3">_xlfn.LET(
_xlpm.total,
SUMPRODUCT(
--(Strategy[المؤشر]&lt;&gt;"")*
IF($A$3="",1,--(Strategy[القطاع]=$A$3))*
IF($B$3="",1,--(Strategy[الإدارة]=$B$3))
),
IF(_xlpm.total=0,"",_xlpm.total&amp;" / "&amp;$AX$3)
)</f>
        <v/>
      </c>
      <c r="AR3" s="41">
        <f t="array" ref="AR3">_xlfn.LET(
_xlpm.results,Strategy[[نتيجة العام ]],
_xlpm.include,
(Strategy[المؤشر]&lt;&gt;"")*
ISNUMBER(_xlpm.results)*
(_xlpm.results&lt;&gt;0)*
IF($A$3="",1,--(Strategy[القطاع]=$A$3))*
IF($B$3="",1,--(Strategy[الإدارة]=$B$3)),
IFERROR(
AVERAGE(_xlfn._xlws.FILTER(_xlpm.results,_xlpm.include)),
""
)
)</f>
        <v/>
      </c>
      <c r="AS3" s="41">
        <f t="array" ref="AS3">_xlfn.LET(
_xlpm.targets,Strategy[المستهدف للعام],
_xlpm.include,
(Strategy[المؤشر]&lt;&gt;"")*
ISNUMBER(_xlpm.targets)*
(_xlpm.targets&lt;&gt;0)*
IF($A$3="",1,--(Strategy[القطاع]=$A$3))*
IF($B$3="",1,--(Strategy[الإدارة]=$B$3)),
IFERROR(
AVERAGE(_xlfn._xlws.FILTER(_xlpm.targets,_xlpm.include)),
""
)
)</f>
        <v/>
      </c>
      <c r="AU3" s="83" t="n"/>
      <c r="AV3" s="83" t="n"/>
      <c r="AW3" s="83" t="inlineStr">
        <is>
          <t>الشهر الحالي</t>
        </is>
      </c>
      <c r="AX3" s="84">
        <f t="array" ref="AX3">_xlfn.LET(
_xlpm.results,Strategy[[نتيجة العام ]],
SUMPRODUCT(
--(Strategy[المؤشر]&lt;&gt;"")*
--ISNUMBER(_xlpm.results)*
--(_xlpm.results&lt;&gt;0)*
IF($A$3="",1,--(Strategy[القطاع]=$A$3))*
IF($B$3="",1,--(Strategy[الإدارة]=$B$3))
)
)</f>
        <v/>
      </c>
      <c r="AY3" s="83">
        <f>$AR$3</f>
        <v/>
      </c>
      <c r="AZ3" s="83">
        <f>$Y$3</f>
        <v/>
      </c>
      <c r="BA3" s="83">
        <f>$AA$3</f>
        <v/>
      </c>
      <c r="BB3" s="83">
        <f>$AB$3</f>
        <v/>
      </c>
      <c r="BC3" s="83">
        <f>$AD$3</f>
        <v/>
      </c>
      <c r="BD3" s="83">
        <f>$AE$3</f>
        <v/>
      </c>
      <c r="BE3" s="83">
        <f>$D$3</f>
        <v/>
      </c>
      <c r="BF3" s="83">
        <f>$I$3</f>
        <v/>
      </c>
      <c r="BG3" s="83">
        <f>$J$3</f>
        <v/>
      </c>
      <c r="BH3" s="83">
        <f>$L$3</f>
        <v/>
      </c>
      <c r="BI3" s="83">
        <f>$N$3</f>
        <v/>
      </c>
      <c r="BJ3" s="83">
        <f>$O$3</f>
        <v/>
      </c>
      <c r="BK3" s="83">
        <f>$AG$3</f>
        <v/>
      </c>
      <c r="BL3" s="83">
        <f>$AJ$3</f>
        <v/>
      </c>
      <c r="BM3" s="83">
        <f>$AK$3</f>
        <v/>
      </c>
      <c r="BN3" s="83">
        <f>$S$3</f>
        <v/>
      </c>
      <c r="BO3" s="83">
        <f>$U$3</f>
        <v/>
      </c>
      <c r="BP3" s="83">
        <f>$V$3</f>
        <v/>
      </c>
      <c r="BQ3" s="83">
        <f>$W$3</f>
        <v/>
      </c>
      <c r="BR3" s="83">
        <f>$AG$6</f>
        <v/>
      </c>
      <c r="BS3" s="83">
        <f>$AH$6</f>
        <v/>
      </c>
      <c r="BT3" s="83">
        <f>$AI$6</f>
        <v/>
      </c>
      <c r="BU3" s="83">
        <f>$AJ$6</f>
        <v/>
      </c>
      <c r="BV3" s="92">
        <f>$Z$3</f>
        <v/>
      </c>
      <c r="BW3" s="92">
        <f>$AC$3</f>
        <v/>
      </c>
      <c r="BX3" s="92">
        <f>BV3-BA3-BB3</f>
        <v/>
      </c>
      <c r="BY3" s="92">
        <f>BW3-BC3-BD3</f>
        <v/>
      </c>
      <c r="BZ3" s="92">
        <f>$E$3</f>
        <v/>
      </c>
      <c r="CA3" s="92">
        <f>$F$3</f>
        <v/>
      </c>
      <c r="CB3" s="92">
        <f>$H$3</f>
        <v/>
      </c>
      <c r="CC3" s="92">
        <f>$G$3</f>
        <v/>
      </c>
      <c r="CD3" s="92">
        <f>$M$3</f>
        <v/>
      </c>
      <c r="CE3" s="92">
        <f>$AH$3</f>
        <v/>
      </c>
      <c r="CF3" s="92">
        <f>$AI$3</f>
        <v/>
      </c>
      <c r="CG3" s="92">
        <f>$AL$3</f>
        <v/>
      </c>
      <c r="CH3" s="92">
        <f>$AM$3</f>
        <v/>
      </c>
      <c r="CI3" s="92">
        <f>$AN$3</f>
        <v/>
      </c>
      <c r="CJ3" s="92">
        <f>$AO$3</f>
        <v/>
      </c>
      <c r="CL3" s="3" t="n"/>
    </row>
    <row r="4" customFormat="1" s="1">
      <c r="A4" s="45" t="n"/>
      <c r="B4" s="45" t="n"/>
      <c r="D4" s="3" t="n"/>
      <c r="E4" s="3" t="n"/>
      <c r="F4" s="3" t="n"/>
      <c r="G4" s="3" t="n"/>
      <c r="H4" s="3" t="n"/>
      <c r="I4" s="3" t="n"/>
      <c r="J4" s="3" t="n"/>
      <c r="L4" s="3" t="n"/>
      <c r="M4" s="3" t="n"/>
      <c r="N4" s="3" t="n"/>
      <c r="O4" s="3" t="n"/>
      <c r="P4" s="3" t="n"/>
      <c r="Q4" s="3" t="n"/>
      <c r="S4" s="3" t="n"/>
      <c r="T4" s="3" t="n"/>
      <c r="U4" s="3" t="n"/>
      <c r="V4" s="3" t="n"/>
      <c r="W4" s="3" t="n"/>
      <c r="Y4" s="3" t="n"/>
      <c r="Z4" s="3" t="n"/>
      <c r="AA4" s="3" t="n"/>
      <c r="AB4" s="3" t="n"/>
      <c r="AC4" s="3" t="n"/>
      <c r="AD4" s="3" t="n"/>
      <c r="AE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U4" s="83" t="n"/>
      <c r="AV4" s="83" t="n"/>
      <c r="AW4" s="83" t="inlineStr">
        <is>
          <t>التغيير</t>
        </is>
      </c>
      <c r="AX4" s="83">
        <f>IF(COUNT(AX2:AX3)&lt;2,"",IF(AX3=AX2,"",IF(AX3&gt;AX2,"▲ +","▼ -")&amp;TEXT(ABS(AX3-AX2),"#,##0")))</f>
        <v/>
      </c>
      <c r="AY4" s="83">
        <f>IF(OR(AY2="",AY3=""),"",IF(ABS(AY3-AY2)&lt;0.0005,"",IF(AY3&gt;AY2,"▲ +","▼ -")&amp;TEXT(ABS(AY3-AY2)*100,"0.0")&amp;" نقطة مئوية"))</f>
        <v/>
      </c>
      <c r="AZ4" s="83">
        <f>IF(COUNT(AZ2:AZ3)&lt;2,"",IF(AZ3=AZ2,"",IF(AZ3&gt;AZ2,"▲ +","▼ -")&amp;TEXT(ABS(AZ3-AZ2),"#,##0")))</f>
        <v/>
      </c>
      <c r="BA4" s="83">
        <f>IF(COUNT(BA2:BA3)&lt;2,"",IF(BA3=BA2,"",IF(BA3&gt;BA2,"▲ +","▼ -")&amp;TEXT(ABS(BA3-BA2),"#,##0")))</f>
        <v/>
      </c>
      <c r="BB4" s="83">
        <f>IF(COUNT(BB2:BB3)&lt;2,"",IF(BB3=BB2,"",IF(BB3&gt;BB2,"▲ +","▼ -")&amp;TEXT(ABS(BB3-BB2),"#,##0")))</f>
        <v/>
      </c>
      <c r="BC4" s="83">
        <f>IF(COUNT(BC2:BC3)&lt;2,"",IF(BC3=BC2,"",IF(BC3&gt;BC2,"▲ +","▼ -")&amp;TEXT(ABS(BC3-BC2),"#,##0")))</f>
        <v/>
      </c>
      <c r="BD4" s="83">
        <f>IF(COUNT(BD2:BD3)&lt;2,"",IF(BD3=BD2,"",IF(BD3&gt;BD2,"▲ +","▼ -")&amp;TEXT(ABS(BD3-BD2),"#,##0")))</f>
        <v/>
      </c>
      <c r="BE4" s="83">
        <f>IF(COUNT(BE2:BE3)&lt;2,"",IF(BE3=BE2,"",IF(BE3&gt;BE2,"▲ +","▼ -")&amp;TEXT(ABS(BE3-BE2),"#,##0")))</f>
        <v/>
      </c>
      <c r="BF4" s="83">
        <f>IF(COUNT(BF2:BF3)&lt;2,"",IF(BF3=BF2,"",IF(BF3&gt;BF2,"▲ +","▼ -")&amp;TEXT(ABS(BF3-BF2),"#,##0")))</f>
        <v/>
      </c>
      <c r="BG4" s="83">
        <f>IF(COUNT(BG2:BG3)&lt;2,"",IF(BG3=BG2,"",IF(BG3&gt;BG2,"▲ +","▼ -")&amp;TEXT(ABS(BG3-BG2),"#,##0")))</f>
        <v/>
      </c>
      <c r="BH4" s="83">
        <f>IF(COUNT(BH2:BH3)&lt;2,"",IF(BH3=BH2,"",IF(BH3&gt;BH2,"▲ +","▼ -")&amp;TEXT(ABS(BH3-BH2),"#,##0")))</f>
        <v/>
      </c>
      <c r="BI4" s="83">
        <f>IF(COUNT(BI2:BI3)&lt;2,"",IF(BI3=BI2,"",IF(BI3&gt;BI2,"▲ +","▼ -")&amp;TEXT(ABS(BI3-BI2),"#,##0")))</f>
        <v/>
      </c>
      <c r="BJ4" s="83">
        <f>IF(COUNT(BJ2:BJ3)&lt;2,"",IF(BJ3=BJ2,"",IF(BJ3&gt;BJ2,"▲ +","▼ -")&amp;TEXT(ABS(BJ3-BJ2),"#,##0")))</f>
        <v/>
      </c>
      <c r="BK4" s="83">
        <f>IF(COUNT(BK2:BK3)&lt;2,"",IF(BK3=BK2,"",IF(BK3&gt;BK2,"▲ +","▼ -")&amp;TEXT(ABS(BK3-BK2),"#,##0")))</f>
        <v/>
      </c>
      <c r="BL4" s="83">
        <f>IF(COUNT(BL2:BL3)&lt;2,"",IF(BL3=BL2,"",IF(BL3&gt;BL2,"▲ +","▼ -")&amp;TEXT(ABS(BL3-BL2),"#,##0")))</f>
        <v/>
      </c>
      <c r="BM4" s="83">
        <f>IF(COUNT(BM2:BM3)&lt;2,"",IF(BM3=BM2,"",IF(BM3&gt;BM2,"▲ +","▼ -")&amp;TEXT(ABS(BM3-BM2),"#,##0")))</f>
        <v/>
      </c>
      <c r="BN4" s="83">
        <f>IF(COUNT(BN2:BN3)&lt;2,"",IF(BN3=BN2,"",IF(BN3&gt;BN2,"▲ +","▼ -")&amp;TEXT(ABS(BN3-BN2),"#,##0")))</f>
        <v/>
      </c>
      <c r="BO4" s="83">
        <f>IF(COUNT(BO2:BO3)&lt;2,"",IF(BO3=BO2,"",IF(BO3&gt;BO2,"▲ +","▼ -")&amp;TEXT(ABS(BO3-BO2),"#,##0")))</f>
        <v/>
      </c>
      <c r="BP4" s="83">
        <f>IF(COUNT(BP2:BP3)&lt;2,"",IF(BP3=BP2,"",IF(BP3&gt;BP2,"▲ +","▼ -")&amp;TEXT(ABS(BP3-BP2),"#,##0")))</f>
        <v/>
      </c>
      <c r="BQ4" s="83">
        <f>IF(COUNT(BQ2:BQ3)&lt;2,"",IF(BQ3=BQ2,"",IF(BQ3&gt;BQ2,"▲ +","▼ -")&amp;TEXT(ABS(BQ3-BQ2),"#,##0")))</f>
        <v/>
      </c>
      <c r="BR4" s="83">
        <f>IF(COUNT(BR2:BR3)&lt;2,"",IF(BR3=BR2,"",IF(BR3&gt;BR2,"+ ▲","- ▼")))</f>
        <v/>
      </c>
      <c r="BS4" s="83">
        <f>IF(COUNT(BS2:BS3)&lt;2,"",IF(BS3=BS2,"",IF(BS3&gt;BS2,"+ ▲","- ▼")))</f>
        <v/>
      </c>
      <c r="BT4" s="83">
        <f>IF(COUNT(BT2:BT3)&lt;2,"",IF(BT3=BT2,"",IF(BT3&gt;BT2,"+ ▲","- ▼")))</f>
        <v/>
      </c>
      <c r="BU4" s="83">
        <f>IF(COUNT(BU2:BU3)&lt;2,"",IF(BU3=BU2,"",IF(BU3&gt;BU2,"+ ▲","- ▼")))</f>
        <v/>
      </c>
      <c r="BV4" s="92">
        <f>IF(COUNT(BV2:BV3)&lt;2,"",IF(BV3=BV2,"",IF(BV3&gt;BV2,"▲ +","▼ -")&amp;TEXT(ABS(BV3-BV2),"#,##0")))</f>
        <v/>
      </c>
      <c r="BW4" s="92">
        <f>IF(COUNT(BW2:BW3)&lt;2,"",IF(BW3=BW2,"",IF(BW3&gt;BW2,"▲ +","▼ -")&amp;TEXT(ABS(BW3-BW2),"#,##0")))</f>
        <v/>
      </c>
      <c r="BX4" s="92">
        <f>IF(COUNT(BX2:BX3)&lt;2,"",IF(BX3=BX2,"",IF(BX3&gt;BX2,"▲ +","▼ -")&amp;TEXT(ABS(BX3-BX2),"#,##0")))</f>
        <v/>
      </c>
      <c r="BY4" s="92">
        <f>IF(COUNT(BY2:BY3)&lt;2,"",IF(BY3=BY2,"",IF(BY3&gt;BY2,"▲ +","▼ -")&amp;TEXT(ABS(BY3-BY2),"#,##0")))</f>
        <v/>
      </c>
      <c r="BZ4" s="92">
        <f>IF(COUNT(BZ2:BZ3)&lt;2,"",IF(BZ3=BZ2,"",IF(BZ3&gt;BZ2,"▲ +","▼ -")&amp;TEXT(ABS(BZ3-BZ2),"#,##0")))</f>
        <v/>
      </c>
      <c r="CA4" s="92">
        <f>IF(COUNT(CA2:CA3)&lt;2,"",IF(CA3=CA2,"",IF(CA3&gt;CA2,"▲ +","▼ -")&amp;TEXT(ABS(CA3-CA2),"#,##0")))</f>
        <v/>
      </c>
      <c r="CB4" s="92">
        <f>IF(COUNT(CB2:CB3)&lt;2,"",IF(CB3=CB2,"",IF(CB3&gt;CB2,"▲ +","▼ -")&amp;TEXT(ABS(CB3-CB2),"#,##0")))</f>
        <v/>
      </c>
      <c r="CC4" s="92">
        <f>IF(COUNT(CC2:CC3)&lt;2,"",IF(CC3=CC2,"",IF(CC3&gt;CC2,"▲ +","▼ -")&amp;TEXT(ABS(CC3-CC2),"#,##0")))</f>
        <v/>
      </c>
      <c r="CD4" s="92">
        <f>IF(COUNT(CD2:CD3)&lt;2,"",IF(CD3=CD2,"",IF(CD3&gt;CD2,"▲ +","▼ -")&amp;TEXT(ABS(CD3-CD2),"#,##0")))</f>
        <v/>
      </c>
      <c r="CE4" s="92">
        <f>IF(COUNT(CE2:CE3)&lt;2,"",IF(CE3=CE2,"",IF(CE3&gt;CE2,"▲ +","▼ -")&amp;TEXT(ABS(CE3-CE2),"#,##0")))</f>
        <v/>
      </c>
      <c r="CF4" s="92">
        <f>IF(COUNT(CF2:CF3)&lt;2,"",IF(CF3=CF2,"",IF(CF3&gt;CF2,"▲ +","▼ -")&amp;TEXT(ABS(CF3-CF2),"#,##0")))</f>
        <v/>
      </c>
      <c r="CG4" s="92">
        <f>IF(COUNT(CG2:CG3)&lt;2,"",IF(CG3=CG2,"",IF(CG3&gt;CG2,"▲ +","▼ -")&amp;TEXT(ABS(CG3-CG2),"#,##0")))</f>
        <v/>
      </c>
      <c r="CH4" s="92">
        <f>IF(COUNT(CH2:CH3)&lt;2,"",IF(CH3=CH2,"",IF(CH3&gt;CH2,"▲ +","▼ -")&amp;TEXT(ABS(CH3-CH2),"#,##0")))</f>
        <v/>
      </c>
      <c r="CI4" s="92">
        <f>IF(COUNT(CI2:CI3)&lt;2,"",IF(CI3=CI2,"",IF(CI3&gt;CI2,"▲ +","▼ -")&amp;TEXT(ABS(CI3-CI2),"#,##0")))</f>
        <v/>
      </c>
      <c r="CJ4" s="92">
        <f>IF(COUNT(CJ2:CJ3)&lt;2,"",IF(CJ3=CJ2,"",IF(CJ3&gt;CJ2,"▲ +","▼ -")&amp;TEXT(ABS(CJ3-CJ2),"#,##0")))</f>
        <v/>
      </c>
      <c r="CL4" s="3" t="n"/>
    </row>
    <row r="5" customFormat="1" s="1">
      <c r="A5" s="45" t="inlineStr">
        <is>
          <t>القطاع</t>
        </is>
      </c>
      <c r="B5" s="45" t="inlineStr">
        <is>
          <t>الادارة</t>
        </is>
      </c>
      <c r="D5" s="3" t="n"/>
      <c r="E5" s="3" t="n"/>
      <c r="F5" s="3" t="n"/>
      <c r="G5" s="3" t="n"/>
      <c r="H5" s="3" t="n"/>
      <c r="I5" s="3" t="n"/>
      <c r="J5" s="3" t="n"/>
      <c r="L5" s="3" t="n"/>
      <c r="M5" s="3" t="n"/>
      <c r="N5" s="3" t="n"/>
      <c r="O5" s="3" t="n"/>
      <c r="P5" s="3" t="n"/>
      <c r="Q5" s="3" t="n"/>
      <c r="R5" s="43" t="n"/>
      <c r="S5" s="3" t="n"/>
      <c r="T5" s="3" t="n"/>
      <c r="U5" s="3" t="n"/>
      <c r="V5" s="3" t="n"/>
      <c r="W5" s="3" t="n"/>
      <c r="Y5" s="3" t="n"/>
      <c r="Z5" s="3" t="n"/>
      <c r="AA5" s="3" t="n"/>
      <c r="AB5" s="3" t="n"/>
      <c r="AC5" s="3" t="n"/>
      <c r="AD5" s="3" t="n"/>
      <c r="AE5" s="3" t="n"/>
      <c r="AG5" s="41" t="inlineStr">
        <is>
          <t>الموازنة المعتمدة</t>
        </is>
      </c>
      <c r="AH5" s="41" t="inlineStr">
        <is>
          <t>المنفق الفعلي</t>
        </is>
      </c>
      <c r="AI5" s="41" t="inlineStr">
        <is>
          <t>المخصص</t>
        </is>
      </c>
      <c r="AJ5" s="41" t="inlineStr">
        <is>
          <t>غير المخصص</t>
        </is>
      </c>
      <c r="AK5" s="3" t="n"/>
      <c r="AL5" s="3" t="n"/>
      <c r="AM5" s="3" t="n"/>
      <c r="AN5" s="3" t="n"/>
      <c r="AO5" s="3" t="n"/>
      <c r="AU5" s="85" t="inlineStr">
        <is>
          <t>الأمانة العامة للمجلس التنفيذي</t>
        </is>
      </c>
      <c r="AV5" s="85" t="inlineStr">
        <is>
          <t>مكتب الأمين العام</t>
        </is>
      </c>
      <c r="AW5" s="85" t="inlineStr">
        <is>
          <t>الشهر السابق</t>
        </is>
      </c>
      <c r="AX5" s="85" t="n">
        <v>0</v>
      </c>
      <c r="AY5" s="85" t="inlineStr"/>
      <c r="AZ5" s="85" t="n">
        <v>0</v>
      </c>
      <c r="BA5" s="85" t="n">
        <v>0</v>
      </c>
      <c r="BB5" s="85" t="n">
        <v>0</v>
      </c>
      <c r="BC5" s="85" t="n">
        <v>0</v>
      </c>
      <c r="BD5" s="85" t="n">
        <v>0</v>
      </c>
      <c r="BE5" s="85" t="n">
        <v>0</v>
      </c>
      <c r="BF5" s="85" t="n">
        <v>0</v>
      </c>
      <c r="BG5" s="85" t="n">
        <v>0</v>
      </c>
      <c r="BH5" s="85" t="n">
        <v>0</v>
      </c>
      <c r="BI5" s="85" t="n">
        <v>0</v>
      </c>
      <c r="BJ5" s="85" t="n">
        <v>0</v>
      </c>
      <c r="BK5" s="85" t="n">
        <v>3</v>
      </c>
      <c r="BL5" s="85" t="n">
        <v>2</v>
      </c>
      <c r="BM5" s="85" t="n">
        <v>0</v>
      </c>
      <c r="BN5" s="85" t="n">
        <v>0</v>
      </c>
      <c r="BO5" s="85" t="n">
        <v>0</v>
      </c>
      <c r="BP5" s="85" t="n">
        <v>0</v>
      </c>
      <c r="BQ5" s="85" t="n">
        <v>0</v>
      </c>
      <c r="BR5" s="85" t="n">
        <v>21756000</v>
      </c>
      <c r="BS5" s="85" t="n">
        <v>15707007</v>
      </c>
      <c r="BT5" s="85" t="n">
        <v>19465555</v>
      </c>
      <c r="BU5" s="85" t="n">
        <v>2290445</v>
      </c>
      <c r="BV5" s="87" t="n">
        <v>0</v>
      </c>
      <c r="BW5" s="87" t="n">
        <v>0</v>
      </c>
      <c r="BX5" s="87" t="n">
        <v>0</v>
      </c>
      <c r="BY5" s="87" t="n">
        <v>0</v>
      </c>
      <c r="BZ5" s="87" t="n">
        <v>0</v>
      </c>
      <c r="CA5" s="87" t="n">
        <v>0</v>
      </c>
      <c r="CB5" s="87" t="n">
        <v>0</v>
      </c>
      <c r="CC5" s="87" t="n">
        <v>0</v>
      </c>
      <c r="CD5" s="87" t="n">
        <v>0</v>
      </c>
      <c r="CE5" s="87" t="n">
        <v>1</v>
      </c>
      <c r="CF5" s="87" t="n">
        <v>0</v>
      </c>
      <c r="CG5" s="87" t="n">
        <v>0</v>
      </c>
      <c r="CH5" s="87" t="n">
        <v>0</v>
      </c>
      <c r="CI5" s="87" t="n">
        <v>0</v>
      </c>
      <c r="CJ5" s="87" t="n">
        <v>3</v>
      </c>
      <c r="CL5" s="3" t="n"/>
    </row>
    <row r="6" customFormat="1" s="1">
      <c r="A6" s="45" t="n"/>
      <c r="B6" s="45" t="n"/>
      <c r="D6" s="3" t="n"/>
      <c r="E6" s="3" t="n"/>
      <c r="F6" s="3" t="n"/>
      <c r="G6" s="3" t="n"/>
      <c r="H6" s="3" t="n"/>
      <c r="I6" s="3" t="n"/>
      <c r="J6" s="3" t="n"/>
      <c r="L6" s="3" t="n"/>
      <c r="M6" s="3" t="n"/>
      <c r="N6" s="3" t="n"/>
      <c r="O6" s="3" t="n"/>
      <c r="P6" s="3" t="n"/>
      <c r="Q6" s="44" t="n"/>
      <c r="R6" s="43" t="n"/>
      <c r="S6" s="3" t="n"/>
      <c r="T6" s="3" t="n"/>
      <c r="U6" s="3" t="n"/>
      <c r="V6" s="3" t="n"/>
      <c r="W6" s="3" t="n"/>
      <c r="Y6" s="3" t="n"/>
      <c r="Z6" s="3" t="n"/>
      <c r="AA6" s="3" t="n"/>
      <c r="AB6" s="3" t="n"/>
      <c r="AC6" s="3" t="n"/>
      <c r="AD6" s="3" t="n"/>
      <c r="AE6" s="3" t="n"/>
      <c r="AG6" s="41">
        <f t="array" ref="AG6">SUMPRODUCT(
    IFERROR(--Projects[الموازنة المعتمدة الجديدة],0),
    --((($A$3="")+(Projects[القطاع]=$A$3))&gt;0),
    --((($B$3="")+(Projects[[الإدارة ]]=$B$3))&gt;0)
)</f>
        <v/>
      </c>
      <c r="AH6" s="41">
        <f t="array" ref="AH6">SUMPRODUCT(
    IFERROR(--Projects[المنفق الفعلي],0),
    --((($A$3="")+(Projects[القطاع]=$A$3))&gt;0),
    --((($B$3="")+(Projects[[الإدارة ]]=$B$3))&gt;0)
)</f>
        <v/>
      </c>
      <c r="AI6" s="41">
        <f t="array" ref="AI6">SUMPRODUCT(
    IFERROR(--Projects[المخصص],0),
    --((($A$3="")+(Projects[القطاع]=$A$3))&gt;0),
    --((($B$3="")+(Projects[[الإدارة ]]=$B$3))&gt;0)
)</f>
        <v/>
      </c>
      <c r="AJ6" s="41">
        <f t="array" ref="AJ6">SUMPRODUCT(
    IFERROR(--Projects[غير المخصص],0),
    --((($A$3="")+(Projects[القطاع]=$A$3))&gt;0),
    --((($B$3="")+(Projects[[الإدارة ]]=$B$3))&gt;0)
)</f>
        <v/>
      </c>
      <c r="AK6" s="3" t="n"/>
      <c r="AL6" s="3" t="n"/>
      <c r="AM6" s="3" t="n"/>
      <c r="AN6" s="3" t="n"/>
      <c r="AO6" s="3" t="n"/>
      <c r="AU6" s="85" t="inlineStr">
        <is>
          <t>الأمانة العامة للمجلس التنفيذي</t>
        </is>
      </c>
      <c r="AV6" s="85" t="inlineStr">
        <is>
          <t>مكتب خطة دبي</t>
        </is>
      </c>
      <c r="AW6" s="85" t="inlineStr">
        <is>
          <t>الشهر السابق</t>
        </is>
      </c>
      <c r="AX6" s="85" t="n">
        <v>2</v>
      </c>
      <c r="AY6" s="85" t="n">
        <v>1</v>
      </c>
      <c r="AZ6" s="85" t="n">
        <v>6</v>
      </c>
      <c r="BA6" s="85" t="n">
        <v>0</v>
      </c>
      <c r="BB6" s="85" t="n">
        <v>0</v>
      </c>
      <c r="BC6" s="85" t="n">
        <v>1</v>
      </c>
      <c r="BD6" s="85" t="n">
        <v>0</v>
      </c>
      <c r="BE6" s="85" t="n">
        <v>0</v>
      </c>
      <c r="BF6" s="85" t="n">
        <v>0</v>
      </c>
      <c r="BG6" s="85" t="n">
        <v>0</v>
      </c>
      <c r="BH6" s="85" t="n">
        <v>0</v>
      </c>
      <c r="BI6" s="85" t="n">
        <v>0</v>
      </c>
      <c r="BJ6" s="85" t="n">
        <v>0</v>
      </c>
      <c r="BK6" s="85" t="n">
        <v>0</v>
      </c>
      <c r="BL6" s="85" t="n">
        <v>0</v>
      </c>
      <c r="BM6" s="85" t="n">
        <v>0</v>
      </c>
      <c r="BN6" s="85" t="n">
        <v>0</v>
      </c>
      <c r="BO6" s="85" t="n">
        <v>0</v>
      </c>
      <c r="BP6" s="85" t="n">
        <v>0</v>
      </c>
      <c r="BQ6" s="85" t="n">
        <v>0</v>
      </c>
      <c r="BR6" s="85" t="n">
        <v>0</v>
      </c>
      <c r="BS6" s="85" t="n">
        <v>0</v>
      </c>
      <c r="BT6" s="85" t="n">
        <v>0</v>
      </c>
      <c r="BU6" s="85" t="n">
        <v>0</v>
      </c>
      <c r="BV6" s="87" t="n">
        <v>0</v>
      </c>
      <c r="BW6" s="87" t="n">
        <v>6</v>
      </c>
      <c r="BX6" s="87" t="n">
        <v>0</v>
      </c>
      <c r="BY6" s="87" t="n">
        <v>5</v>
      </c>
      <c r="BZ6" s="87" t="n">
        <v>0</v>
      </c>
      <c r="CA6" s="87" t="n">
        <v>0</v>
      </c>
      <c r="CB6" s="87" t="n">
        <v>0</v>
      </c>
      <c r="CC6" s="87" t="n">
        <v>0</v>
      </c>
      <c r="CD6" s="87" t="n">
        <v>0</v>
      </c>
      <c r="CE6" s="87" t="n">
        <v>0</v>
      </c>
      <c r="CF6" s="87" t="n">
        <v>0</v>
      </c>
      <c r="CG6" s="87" t="n">
        <v>0</v>
      </c>
      <c r="CH6" s="87" t="n">
        <v>0</v>
      </c>
      <c r="CI6" s="87" t="n">
        <v>0</v>
      </c>
      <c r="CJ6" s="87" t="n">
        <v>0</v>
      </c>
      <c r="CL6" s="3" t="n"/>
    </row>
    <row r="7" customFormat="1" s="1">
      <c r="A7" s="3">
        <f t="array" ref="A7:A12">_xlfn.LET(
  _xlpm.data, Departments[القطاع],
  _xlpm.dept, Departments[الوحدة التنظيمية],
  _xlpm.inc, (IF($B$3="", TRUE, _xlpm.dept=$B$3)) * (_xlpm.data&lt;&gt;""),
  IFERROR(_xlfn.UNIQUE(_xlfn._xlws.FILTER(_xlpm.data, _xlpm.inc)), "")
)</f>
        <v/>
      </c>
      <c r="B7" s="3">
        <f t="array" ref="B7:B29">_xlfn.LET(
  _xlpm.data, Departments[الوحدة التنظيمية],
  _xlpm.sector, Departments[القطاع],
  _xlpm.inc, (IF($A$3="", TRUE, _xlpm.sector=$A$3)) * (_xlpm.data&lt;&gt;""),
  IFERROR(_xlfn.UNIQUE(_xlfn._xlws.FILTER(_xlpm.data, _xlpm.inc)), "")
)</f>
        <v/>
      </c>
      <c r="D7" s="3" t="n"/>
      <c r="E7" s="3" t="n"/>
      <c r="F7" s="3" t="n"/>
      <c r="G7" s="3" t="n"/>
      <c r="H7" s="3" t="n"/>
      <c r="I7" s="3" t="n"/>
      <c r="J7" s="3" t="n"/>
      <c r="L7" s="3" t="n"/>
      <c r="M7" s="3" t="n"/>
      <c r="N7" s="3" t="n"/>
      <c r="O7" s="3" t="n"/>
      <c r="P7" s="3" t="n"/>
      <c r="Q7" s="3" t="n"/>
      <c r="S7" s="3" t="n"/>
      <c r="T7" s="3" t="n"/>
      <c r="U7" s="3" t="n"/>
      <c r="V7" s="3" t="n"/>
      <c r="W7" s="3" t="n"/>
      <c r="Y7" s="3" t="n"/>
      <c r="Z7" s="3" t="n"/>
      <c r="AA7" s="3" t="n"/>
      <c r="AB7" s="3" t="n"/>
      <c r="AC7" s="3" t="n"/>
      <c r="AD7" s="3" t="n"/>
      <c r="AE7" s="3" t="n"/>
      <c r="AG7" s="3" t="n"/>
      <c r="AH7" s="45" t="n"/>
      <c r="AI7" s="45" t="n"/>
      <c r="AJ7" s="45" t="n"/>
      <c r="AK7" s="45" t="n"/>
      <c r="AL7" s="44" t="n"/>
      <c r="AM7" s="44" t="n"/>
      <c r="AN7" s="44" t="n"/>
      <c r="AO7" s="3" t="n"/>
      <c r="AU7" s="85" t="inlineStr">
        <is>
          <t>الأمانة العامة للمجلس التنفيذي</t>
        </is>
      </c>
      <c r="AV7" s="85" t="inlineStr">
        <is>
          <t>مكتب التدقيق الداخلي</t>
        </is>
      </c>
      <c r="AW7" s="85" t="inlineStr">
        <is>
          <t>الشهر السابق</t>
        </is>
      </c>
      <c r="AX7" s="85" t="n">
        <v>0</v>
      </c>
      <c r="AY7" s="85" t="inlineStr"/>
      <c r="AZ7" s="85" t="n">
        <v>0</v>
      </c>
      <c r="BA7" s="85" t="n">
        <v>0</v>
      </c>
      <c r="BB7" s="85" t="n">
        <v>0</v>
      </c>
      <c r="BC7" s="85" t="n">
        <v>0</v>
      </c>
      <c r="BD7" s="85" t="n">
        <v>0</v>
      </c>
      <c r="BE7" s="85" t="n">
        <v>0</v>
      </c>
      <c r="BF7" s="85" t="n">
        <v>0</v>
      </c>
      <c r="BG7" s="85" t="n">
        <v>0</v>
      </c>
      <c r="BH7" s="85" t="n">
        <v>0</v>
      </c>
      <c r="BI7" s="85" t="n">
        <v>0</v>
      </c>
      <c r="BJ7" s="85" t="n">
        <v>0</v>
      </c>
      <c r="BK7" s="85" t="n">
        <v>1</v>
      </c>
      <c r="BL7" s="85" t="n">
        <v>0</v>
      </c>
      <c r="BM7" s="85" t="n">
        <v>0</v>
      </c>
      <c r="BN7" s="85" t="n">
        <v>1</v>
      </c>
      <c r="BO7" s="85" t="n">
        <v>1</v>
      </c>
      <c r="BP7" s="85" t="n">
        <v>0</v>
      </c>
      <c r="BQ7" s="85" t="n">
        <v>0</v>
      </c>
      <c r="BR7" s="85" t="n">
        <v>846000</v>
      </c>
      <c r="BS7" s="85" t="n">
        <v>40000</v>
      </c>
      <c r="BT7" s="85" t="n">
        <v>846000</v>
      </c>
      <c r="BU7" s="85" t="n">
        <v>0</v>
      </c>
      <c r="BV7" s="87" t="n">
        <v>0</v>
      </c>
      <c r="BW7" s="87" t="n">
        <v>0</v>
      </c>
      <c r="BX7" s="87" t="n">
        <v>0</v>
      </c>
      <c r="BY7" s="87" t="n">
        <v>0</v>
      </c>
      <c r="BZ7" s="87" t="n">
        <v>0</v>
      </c>
      <c r="CA7" s="87" t="n">
        <v>0</v>
      </c>
      <c r="CB7" s="87" t="n">
        <v>0</v>
      </c>
      <c r="CC7" s="87" t="n">
        <v>0</v>
      </c>
      <c r="CD7" s="87" t="n">
        <v>0</v>
      </c>
      <c r="CE7" s="87" t="n">
        <v>1</v>
      </c>
      <c r="CF7" s="87" t="n">
        <v>0</v>
      </c>
      <c r="CG7" s="87" t="n">
        <v>0</v>
      </c>
      <c r="CH7" s="87" t="n">
        <v>0</v>
      </c>
      <c r="CI7" s="87" t="n">
        <v>0</v>
      </c>
      <c r="CJ7" s="87" t="n">
        <v>1</v>
      </c>
      <c r="CL7" s="3" t="n"/>
    </row>
    <row r="8" customFormat="1" s="1">
      <c r="A8" s="3" t="inlineStr">
        <is>
          <t>الحوكمة</t>
        </is>
      </c>
      <c r="B8" s="3" t="inlineStr">
        <is>
          <t>الشراكات والعلاقات الدولية</t>
        </is>
      </c>
      <c r="D8" s="45" t="inlineStr">
        <is>
          <t>م</t>
        </is>
      </c>
      <c r="E8" s="45" t="inlineStr">
        <is>
          <t>المواضيع</t>
        </is>
      </c>
      <c r="F8" s="45" t="inlineStr">
        <is>
          <t>concate</t>
        </is>
      </c>
      <c r="G8" s="45" t="n"/>
      <c r="H8" s="45" t="n"/>
      <c r="I8" s="45" t="inlineStr">
        <is>
          <t>totals</t>
        </is>
      </c>
      <c r="J8" s="46">
        <f>SUM(J10:J14)</f>
        <v/>
      </c>
      <c r="L8" s="45" t="inlineStr">
        <is>
          <t>م</t>
        </is>
      </c>
      <c r="M8" s="45" t="inlineStr">
        <is>
          <t>القرارات</t>
        </is>
      </c>
      <c r="N8" s="45" t="inlineStr">
        <is>
          <t>concate</t>
        </is>
      </c>
      <c r="O8" s="45" t="n"/>
      <c r="P8" s="45" t="inlineStr">
        <is>
          <t>totals</t>
        </is>
      </c>
      <c r="Q8" s="46">
        <f>IF(P10="",0,SUM(_xlfn.CHOOSECOLS(_xlfn.ANCHORARRAY(P10),2)))</f>
        <v/>
      </c>
      <c r="R8" s="47" t="n"/>
      <c r="S8" s="45" t="inlineStr">
        <is>
          <t>م</t>
        </is>
      </c>
      <c r="T8" s="45" t="inlineStr">
        <is>
          <t>التشريعات</t>
        </is>
      </c>
      <c r="U8" s="45" t="inlineStr">
        <is>
          <t>conacte</t>
        </is>
      </c>
      <c r="V8" s="45" t="n"/>
      <c r="W8" s="45" t="n"/>
      <c r="Y8" s="45" t="inlineStr">
        <is>
          <t>المشاريع</t>
        </is>
      </c>
      <c r="Z8" s="45" t="inlineStr">
        <is>
          <t>م</t>
        </is>
      </c>
      <c r="AA8" s="45" t="inlineStr">
        <is>
          <t>concate</t>
        </is>
      </c>
      <c r="AB8" s="45" t="inlineStr">
        <is>
          <t>totals</t>
        </is>
      </c>
      <c r="AC8" s="46">
        <f>SUM(AC10:AC13)</f>
        <v/>
      </c>
      <c r="AD8" s="3" t="n"/>
      <c r="AE8" s="3" t="n"/>
      <c r="AG8" s="45" t="inlineStr">
        <is>
          <t>المشاريع</t>
        </is>
      </c>
      <c r="AH8" s="45" t="inlineStr">
        <is>
          <t>م</t>
        </is>
      </c>
      <c r="AI8" s="45" t="inlineStr">
        <is>
          <t>concate</t>
        </is>
      </c>
      <c r="AJ8" s="45" t="n"/>
      <c r="AK8" s="45" t="inlineStr">
        <is>
          <t>totals</t>
        </is>
      </c>
      <c r="AL8" s="46">
        <f>SUM(AL10:AL15)</f>
        <v/>
      </c>
      <c r="AM8" s="46" t="n"/>
      <c r="AN8" s="45" t="n"/>
      <c r="AO8" s="45" t="n"/>
      <c r="AU8" s="85" t="inlineStr">
        <is>
          <t>الأمانة العامة للمجلس التنفيذي</t>
        </is>
      </c>
      <c r="AV8" s="85" t="inlineStr">
        <is>
          <t>الأبحاث والرصد</t>
        </is>
      </c>
      <c r="AW8" s="85" t="inlineStr">
        <is>
          <t>الشهر السابق</t>
        </is>
      </c>
      <c r="AX8" s="85" t="n">
        <v>1</v>
      </c>
      <c r="AY8" s="85" t="n">
        <v>0.5376344086021505</v>
      </c>
      <c r="AZ8" s="85" t="n">
        <v>0</v>
      </c>
      <c r="BA8" s="85" t="n">
        <v>0</v>
      </c>
      <c r="BB8" s="85" t="n">
        <v>0</v>
      </c>
      <c r="BC8" s="85" t="n">
        <v>0</v>
      </c>
      <c r="BD8" s="85" t="n">
        <v>0</v>
      </c>
      <c r="BE8" s="85" t="n">
        <v>0</v>
      </c>
      <c r="BF8" s="85" t="n">
        <v>0</v>
      </c>
      <c r="BG8" s="85" t="n">
        <v>0</v>
      </c>
      <c r="BH8" s="85" t="n">
        <v>0</v>
      </c>
      <c r="BI8" s="85" t="n">
        <v>0</v>
      </c>
      <c r="BJ8" s="85" t="n">
        <v>0</v>
      </c>
      <c r="BK8" s="85" t="n">
        <v>3</v>
      </c>
      <c r="BL8" s="85" t="n">
        <v>0</v>
      </c>
      <c r="BM8" s="85" t="n">
        <v>0</v>
      </c>
      <c r="BN8" s="85" t="n">
        <v>0</v>
      </c>
      <c r="BO8" s="85" t="n">
        <v>0</v>
      </c>
      <c r="BP8" s="85" t="n">
        <v>0</v>
      </c>
      <c r="BQ8" s="85" t="n">
        <v>0</v>
      </c>
      <c r="BR8" s="85" t="n">
        <v>2000000</v>
      </c>
      <c r="BS8" s="85" t="n">
        <v>29497</v>
      </c>
      <c r="BT8" s="85" t="n">
        <v>1166043</v>
      </c>
      <c r="BU8" s="85" t="n">
        <v>833957</v>
      </c>
      <c r="BV8" s="87" t="n">
        <v>0</v>
      </c>
      <c r="BW8" s="87" t="n">
        <v>0</v>
      </c>
      <c r="BX8" s="87" t="n">
        <v>0</v>
      </c>
      <c r="BY8" s="87" t="n">
        <v>0</v>
      </c>
      <c r="BZ8" s="87" t="n">
        <v>0</v>
      </c>
      <c r="CA8" s="87" t="n">
        <v>0</v>
      </c>
      <c r="CB8" s="87" t="n">
        <v>0</v>
      </c>
      <c r="CC8" s="87" t="n">
        <v>0</v>
      </c>
      <c r="CD8" s="87" t="n">
        <v>0</v>
      </c>
      <c r="CE8" s="87" t="n">
        <v>3</v>
      </c>
      <c r="CF8" s="87" t="n">
        <v>0</v>
      </c>
      <c r="CG8" s="87" t="n">
        <v>0</v>
      </c>
      <c r="CH8" s="87" t="n">
        <v>0</v>
      </c>
      <c r="CI8" s="87" t="n">
        <v>0</v>
      </c>
      <c r="CJ8" s="87" t="n">
        <v>0</v>
      </c>
      <c r="CL8" s="3" t="n"/>
    </row>
    <row r="9" customFormat="1" s="1">
      <c r="A9" s="3" t="inlineStr">
        <is>
          <t>التنمية المستدامة</t>
        </is>
      </c>
      <c r="B9" s="3" t="inlineStr">
        <is>
          <t>مكتب التدقيق الداخلي</t>
        </is>
      </c>
      <c r="D9" s="45" t="n"/>
      <c r="E9" s="3" t="n"/>
      <c r="F9" s="3" t="n"/>
      <c r="G9" s="3" t="n"/>
      <c r="H9" s="3" t="n"/>
      <c r="I9" s="3" t="n"/>
      <c r="J9" s="3" t="n"/>
      <c r="L9" s="45" t="n"/>
      <c r="M9" s="3" t="n"/>
      <c r="N9" s="3" t="n"/>
      <c r="O9" s="3" t="n"/>
      <c r="P9" s="3" t="n"/>
      <c r="Q9" s="45" t="n"/>
      <c r="R9" s="47" t="n"/>
      <c r="S9" s="45" t="n"/>
      <c r="T9" s="3" t="n"/>
      <c r="U9" s="3" t="n"/>
      <c r="V9" s="3" t="n"/>
      <c r="W9" s="3" t="n"/>
      <c r="Y9" s="45" t="n"/>
      <c r="Z9" s="45" t="n"/>
      <c r="AA9" s="3" t="n"/>
      <c r="AB9" s="3" t="n"/>
      <c r="AC9" s="3" t="n"/>
      <c r="AD9" s="3" t="n"/>
      <c r="AE9" s="3" t="n"/>
      <c r="AG9" s="45" t="n"/>
      <c r="AH9" s="45" t="n"/>
      <c r="AI9" s="3" t="n"/>
      <c r="AJ9" s="3" t="n"/>
      <c r="AK9" s="3" t="n"/>
      <c r="AL9" s="3" t="n"/>
      <c r="AM9" s="3" t="n"/>
      <c r="AN9" s="3" t="n"/>
      <c r="AO9" s="3" t="n"/>
      <c r="AU9" s="85" t="inlineStr">
        <is>
          <t>الأمانة العامة للمجلس التنفيذي</t>
        </is>
      </c>
      <c r="AV9" s="85" t="inlineStr">
        <is>
          <t>الشراكات والعلاقات الدولية</t>
        </is>
      </c>
      <c r="AW9" s="85" t="inlineStr">
        <is>
          <t>الشهر السابق</t>
        </is>
      </c>
      <c r="AX9" s="85" t="n">
        <v>0</v>
      </c>
      <c r="AY9" s="85" t="inlineStr"/>
      <c r="AZ9" s="85" t="n">
        <v>0</v>
      </c>
      <c r="BA9" s="85" t="n">
        <v>0</v>
      </c>
      <c r="BB9" s="85" t="n">
        <v>0</v>
      </c>
      <c r="BC9" s="85" t="n">
        <v>0</v>
      </c>
      <c r="BD9" s="85" t="n">
        <v>0</v>
      </c>
      <c r="BE9" s="85" t="n">
        <v>0</v>
      </c>
      <c r="BF9" s="85" t="n">
        <v>0</v>
      </c>
      <c r="BG9" s="85" t="n">
        <v>0</v>
      </c>
      <c r="BH9" s="85" t="n">
        <v>0</v>
      </c>
      <c r="BI9" s="85" t="n">
        <v>0</v>
      </c>
      <c r="BJ9" s="85" t="n">
        <v>0</v>
      </c>
      <c r="BK9" s="85" t="n">
        <v>0</v>
      </c>
      <c r="BL9" s="85" t="n">
        <v>0</v>
      </c>
      <c r="BM9" s="85" t="n">
        <v>0</v>
      </c>
      <c r="BN9" s="85" t="n">
        <v>0</v>
      </c>
      <c r="BO9" s="85" t="n">
        <v>0</v>
      </c>
      <c r="BP9" s="85" t="n">
        <v>0</v>
      </c>
      <c r="BQ9" s="85" t="n">
        <v>0</v>
      </c>
      <c r="BR9" s="85" t="n">
        <v>0</v>
      </c>
      <c r="BS9" s="85" t="n">
        <v>0</v>
      </c>
      <c r="BT9" s="85" t="n">
        <v>0</v>
      </c>
      <c r="BU9" s="85" t="n">
        <v>0</v>
      </c>
      <c r="BV9" s="87" t="n">
        <v>0</v>
      </c>
      <c r="BW9" s="87" t="n">
        <v>0</v>
      </c>
      <c r="BX9" s="87" t="n">
        <v>0</v>
      </c>
      <c r="BY9" s="87" t="n">
        <v>0</v>
      </c>
      <c r="BZ9" s="87" t="n">
        <v>0</v>
      </c>
      <c r="CA9" s="87" t="n">
        <v>0</v>
      </c>
      <c r="CB9" s="87" t="n">
        <v>0</v>
      </c>
      <c r="CC9" s="87" t="n">
        <v>0</v>
      </c>
      <c r="CD9" s="87" t="n">
        <v>0</v>
      </c>
      <c r="CE9" s="87" t="n">
        <v>0</v>
      </c>
      <c r="CF9" s="87" t="n">
        <v>0</v>
      </c>
      <c r="CG9" s="87" t="n">
        <v>0</v>
      </c>
      <c r="CH9" s="87" t="n">
        <v>0</v>
      </c>
      <c r="CI9" s="87" t="n">
        <v>0</v>
      </c>
      <c r="CJ9" s="87" t="n">
        <v>0</v>
      </c>
      <c r="CL9" s="3" t="n"/>
    </row>
    <row r="10" customFormat="1" s="1">
      <c r="A10" s="3" t="inlineStr">
        <is>
          <t>الاقتصاد والتنمية الاجتماعية</t>
        </is>
      </c>
      <c r="B10" s="3" t="inlineStr">
        <is>
          <t>مكتب خطة دبي</t>
        </is>
      </c>
      <c r="D10" s="3">
        <f>IF(E10="","",1+D9)</f>
        <v/>
      </c>
      <c r="E10" s="3">
        <f t="array" ref="E10">_xlfn._xlws.FILTER(
ECSAC[[الموضوع ]]&amp;
IF(
ECSAC[ملاحظات فريق الأمانة العامة]="",
"",
" - "&amp;ECSAC[ملاحظات فريق الأمانة العامة]
),
(ECSAC[[الموضوع ]]&lt;&gt;"")*
(ECSAC[مستوى الإنجاز]="متأخر")*
IF(
$A$3="",
1,
--(ECSAC[القطاع]=$A$3)
)*
IF(
$B$3="",
1,
--(ECSAC[الإدارة]=$B$3)
),
""
)</f>
        <v/>
      </c>
      <c r="F10" s="3">
        <f>IF(D10="","",CONCATENATE(D10,". ",E10))</f>
        <v/>
      </c>
      <c r="G10" s="3" t="n"/>
      <c r="H10" s="3" t="n"/>
      <c r="I10" s="3">
        <f t="array" ref="I10:J13">_xlfn.LET(
_xlpm.Status,ECSAC[مستوى الإنجاز],
_xlpm.Sector,ECSAC[القطاع],
_xlpm.Department,ECSAC[الإدارة],
_xlpm.Criteria,
(_xlpm.Status&lt;&gt;"")*
IF($A$3="",1,--(_xlpm.Sector=$A$3))*
IF($B$3="",1,--(_xlpm.Department=$B$3)),
_xlpm.Types,_xlfn.UNIQUE(_xlfn._xlws.FILTER(_xlpm.Status,_xlpm.Criteria,"")),
_xlpm.Counts,
IF(
$A$3="",
IF(
$B$3="",
COUNTIFS(_xlpm.Status,_xlpm.Types),
COUNTIFS(_xlpm.Status,_xlpm.Types,_xlpm.Department,$B$3)
),
IF(
$B$3="",
COUNTIFS(_xlpm.Status,_xlpm.Types,_xlpm.Sector,$A$3),
COUNTIFS(_xlpm.Status,_xlpm.Types,_xlpm.Sector,$A$3,_xlpm.Department,$B$3)
)
),
IF(_xlpm.Types="","",_xlfn.HSTACK(_xlpm.Types,_xlpm.Counts))
)</f>
        <v/>
      </c>
      <c r="J10" s="3" t="n">
        <v>16</v>
      </c>
      <c r="L10" s="3">
        <f>IF(M10="","",1+L9)</f>
        <v/>
      </c>
      <c r="M10" s="3">
        <f t="array" ref="M10">_xlfn._xlws.FILTER(
Resolutions[الموضوع]&amp;" - "&amp;Resolutions[ملاحظات],
(Resolutions[الموضوع]&lt;&gt;"")*
(
(
(TRIM(SUBSTITUTE(Resolutions[متطلبات المتابعة],CHAR(160)," "))="رسالة رسمية")+
(TRIM(SUBSTITUTE(Resolutions[متطلبات المتابعة],CHAR(160)," "))="بريد من الوحدة التنظيمية")
)&gt;0
)*
(TRIM(SUBSTITUTE(Resolutions[مستوى الإنجاز],CHAR(160)," "))="متأخر")*
IF(
$A$3="",
1,
--(TRIM(SUBSTITUTE(Resolutions[القطاع],CHAR(160)," "))=TRIM(SUBSTITUTE($A$3,CHAR(160)," ")))
)*
IF(
$B$3="",
1,
--(TRIM(SUBSTITUTE(Resolutions[الإدارة],CHAR(160)," "))=TRIM(SUBSTITUTE($B$3,CHAR(160)," ")))
),
""
)</f>
        <v/>
      </c>
      <c r="N10" s="3">
        <f>IF(L10="","",CONCATENATE(L10,". ",M10))</f>
        <v/>
      </c>
      <c r="O10" s="3" t="n"/>
      <c r="P10" s="3">
        <f t="array" ref="P10:Q13">_xlfn.LET(
_xlpm.tidy,_xlfn.LAMBDA(_xlpm.x,
TRIM(SUBSTITUTE(IFERROR(_xlpm.x&amp;"",""),CHAR(160)," "))
),
_xlpm.topic,IFERROR(Resolutions[الموضوع],""),
_xlpm.followup,_xlpm.tidy(Resolutions[متطلبات المتابعة]),
_xlpm.rawStatus,_xlpm.tidy(Resolutions[مستوى الإنجاز]),
_xlpm.status,IF(_xlpm.rawStatus="","غير محدد",_xlpm.rawStatus),
_xlpm.sector,_xlpm.tidy(Resolutions[القطاع]),
_xlpm.dept,_xlpm.tidy(Resolutions[الإدارة]),
_xlpm.selectedSector,_xlpm.tidy($A$3),
_xlpm.selectedDept,_xlpm.tidy($B$3),
_xlpm.include,
(_xlpm.topic&lt;&gt;"")*
(
(
(_xlpm.followup="رسالة رسمية")+
(_xlpm.followup="بريد من الوحدة التنظيمية")
)&gt;0
)*
IF(_xlpm.selectedSector="",1,--(_xlpm.sector=_xlpm.selectedSector))*
IF(_xlpm.selectedDept="",1,--(_xlpm.dept=_xlpm.selectedDept)),
IF(
SUM(_xlpm.include)=0,
"",
_xlfn.LET(
_xlpm.filteredStatus,_xlfn._xlws.FILTER(_xlpm.status,_xlpm.include),
_xlpm.types,_xlfn.UNIQUE(_xlpm.filteredStatus),
_xlpm.counts,_xlfn.MAP(
_xlpm.types,
_xlfn.LAMBDA(_xlpm.itemStatus,
SUM(--(_xlpm.filteredStatus=_xlpm.itemStatus))
)
),
_xlfn.HSTACK(_xlpm.types,_xlpm.counts)
)
)
)</f>
        <v/>
      </c>
      <c r="Q10" s="3" t="n">
        <v>38</v>
      </c>
      <c r="S10" s="3">
        <f>IF(T10="","",1+S9)</f>
        <v/>
      </c>
      <c r="T10" s="3">
        <f t="array" ref="T10">_xlfn._xlws.FILTER(
Legislations[[عنوان التشريع ]]&amp;
IF(
Legislations[[مستجدات ]]="",
"",
" - "&amp;Legislations[[مستجدات ]]
),
(Legislations[[عنوان التشريع ]]&lt;&gt;"")*
(Legislations[Late KPI]="متأخر")*
IF(
$A$3="",
1,
--(Legislations[القطاع]=$A$3)
)*
IF(
$B$3="",
1,
--(Legislations[الإدارة]=$B$3)
),
""
)</f>
        <v/>
      </c>
      <c r="U10" s="3">
        <f>IF(S10="","",CONCATENATE(S10,". ",T10))</f>
        <v/>
      </c>
      <c r="V10" s="3" t="n"/>
      <c r="W10" s="3" t="n"/>
      <c r="Y10" s="3">
        <f t="array" ref="Y10">_xlfn._xlws.FILTER(
Special[اسم المشروع]&amp;" - "&amp;Special[ملاحظات مدير المشروع],
(Special[مستوى الإنجاز]="متأخر")*
IF(
$B$3="",
IF(
$A$3="",
TRUE,
Special[القطاع]=$A$3
),
IF(
$A$3="",
Special[[الإدارة ]]=$B$3,
(Special[[الإدارة ]]=$B$3)*
(Special[القطاع]=$A$3)
)
),
""
)</f>
        <v/>
      </c>
      <c r="Z10" s="3">
        <f>IF(Y10="","",1+Z9)</f>
        <v/>
      </c>
      <c r="AA10" s="3">
        <f>IF(Z10="","",CONCATENATE(Z10,". ",Y10))</f>
        <v/>
      </c>
      <c r="AB10" s="3">
        <f t="array" ref="AB10:AC12">_xlfn.LET(
_xlpm.Status,Special[مستوى الإنجاز],
_xlpm.Sector,Special[القطاع],
_xlpm.Department,Special[[الإدارة ]],
_xlpm.Criteria,
(_xlpm.Status&lt;&gt;"")*
IF($A$3="",1,--(_xlpm.Sector=$A$3))*
IF($B$3="",1,--(_xlpm.Department=$B$3)),
_xlpm.Types,_xlfn.UNIQUE(_xlfn._xlws.FILTER(_xlpm.Status,_xlpm.Criteria,"")),
_xlpm.Counts,
IF(
$A$3="",
IF(
$B$3="",
COUNTIFS(_xlpm.Status,_xlpm.Types),
COUNTIFS(_xlpm.Status,_xlpm.Types,_xlpm.Department,$B$3)
),
IF(
$B$3="",
COUNTIFS(_xlpm.Status,_xlpm.Types,_xlpm.Sector,$A$3),
COUNTIFS(_xlpm.Status,_xlpm.Types,_xlpm.Sector,$A$3,_xlpm.Department,$B$3)
)
),
IF(_xlpm.Types="","",_xlfn.HSTACK(_xlpm.Types,_xlpm.Counts))
)</f>
        <v/>
      </c>
      <c r="AC10" s="3" t="n">
        <v>23</v>
      </c>
      <c r="AD10" s="3" t="n"/>
      <c r="AE10" s="3" t="n"/>
      <c r="AG10" s="5">
        <f t="array" ref="AG10">_xlfn._xlws.FILTER(
Projects[ملاحظات مدير المشروع]&amp;" - "&amp;Projects[اسم المشروع],
(Projects[اسم المشروع]&lt;&gt;"")*
(
(
(Projects[Late KPI]="Late")+
(Projects[مستوى الإنجاز]="Frozen")+
(Projects[مستوى الإنجاز]="Cancelled")+
(Projects[مستوى الإنجاز]="Transferred")
)&gt;0
)*
IF(
$A$3="",
1,
--(Projects[القطاع]=$A$3)
)*
IF(
$B$3="",
1,
--(Projects[[الإدارة ]]=$B$3)
),
""
)</f>
        <v/>
      </c>
      <c r="AH10" s="3">
        <f>IF(AG10="","",1+AH9)</f>
        <v/>
      </c>
      <c r="AI10" s="3">
        <f>IF(AH10="","",CONCATENATE(AH10,". ",AG10))</f>
        <v/>
      </c>
      <c r="AJ10" s="3" t="n"/>
      <c r="AK10" s="3">
        <f t="array" ref="AK10:AL15">_xlfn.LET(
_xlpm.Status,Projects[مستوى الإنجاز],
_xlpm.Sector,Projects[القطاع],
_xlpm.Department,Projects[[الإدارة ]],
_xlpm.Criteria,
(_xlpm.Status&lt;&gt;"")*
IF($A$3="",1,--(_xlpm.Sector=$A$3))*
IF($B$3="",1,--(_xlpm.Department=$B$3)),
_xlpm.Types,_xlfn.UNIQUE(_xlfn._xlws.FILTER(_xlpm.Status,_xlpm.Criteria,"")),
_xlpm.Counts,
IF(
$A$3="",
IF(
$B$3="",
COUNTIFS(_xlpm.Status,_xlpm.Types),
COUNTIFS(_xlpm.Status,_xlpm.Types,_xlpm.Department,$B$3)
),
IF(
$B$3="",
COUNTIFS(_xlpm.Status,_xlpm.Types,_xlpm.Sector,$A$3),
COUNTIFS(_xlpm.Status,_xlpm.Types,_xlpm.Sector,$A$3,_xlpm.Department,$B$3)
)
),
IF(_xlpm.Types="","",_xlfn.HSTACK(_xlpm.Types,_xlpm.Counts))
)</f>
        <v/>
      </c>
      <c r="AL10" s="3" t="n">
        <v>61</v>
      </c>
      <c r="AM10" s="3" t="n"/>
      <c r="AN10" s="3" t="n"/>
      <c r="AO10" s="3" t="n"/>
      <c r="AU10" s="85" t="inlineStr">
        <is>
          <t>الاقتصاد والتنمية الاجتماعية</t>
        </is>
      </c>
      <c r="AV10" s="85" t="inlineStr">
        <is>
          <t>السياسات والإستراتيجيات الاقتصادية</t>
        </is>
      </c>
      <c r="AW10" s="85" t="inlineStr">
        <is>
          <t>الشهر السابق</t>
        </is>
      </c>
      <c r="AX10" s="85" t="n">
        <v>0</v>
      </c>
      <c r="AY10" s="85" t="inlineStr"/>
      <c r="AZ10" s="85" t="n">
        <v>7</v>
      </c>
      <c r="BA10" s="85" t="n">
        <v>4</v>
      </c>
      <c r="BB10" s="85" t="n">
        <v>0</v>
      </c>
      <c r="BC10" s="85" t="n">
        <v>1</v>
      </c>
      <c r="BD10" s="85" t="n">
        <v>0</v>
      </c>
      <c r="BE10" s="85" t="n">
        <v>17</v>
      </c>
      <c r="BF10" s="85" t="n">
        <v>10</v>
      </c>
      <c r="BG10" s="85" t="n">
        <v>1</v>
      </c>
      <c r="BH10" s="85" t="n">
        <v>8</v>
      </c>
      <c r="BI10" s="85" t="n">
        <v>7</v>
      </c>
      <c r="BJ10" s="85" t="n">
        <v>0</v>
      </c>
      <c r="BK10" s="85" t="n">
        <v>0</v>
      </c>
      <c r="BL10" s="85" t="n">
        <v>0</v>
      </c>
      <c r="BM10" s="85" t="n">
        <v>0</v>
      </c>
      <c r="BN10" s="85" t="n">
        <v>33</v>
      </c>
      <c r="BO10" s="85" t="n">
        <v>24</v>
      </c>
      <c r="BP10" s="85" t="n">
        <v>9</v>
      </c>
      <c r="BQ10" s="85" t="n">
        <v>0</v>
      </c>
      <c r="BR10" s="85" t="n">
        <v>0</v>
      </c>
      <c r="BS10" s="85" t="n">
        <v>0</v>
      </c>
      <c r="BT10" s="85" t="n">
        <v>0</v>
      </c>
      <c r="BU10" s="85" t="n">
        <v>0</v>
      </c>
      <c r="BV10" s="87" t="n">
        <v>6</v>
      </c>
      <c r="BW10" s="87" t="n">
        <v>1</v>
      </c>
      <c r="BX10" s="87" t="n">
        <v>2</v>
      </c>
      <c r="BY10" s="87" t="n">
        <v>0</v>
      </c>
      <c r="BZ10" s="87" t="n">
        <v>11</v>
      </c>
      <c r="CA10" s="87" t="n">
        <v>6</v>
      </c>
      <c r="CB10" s="87" t="n">
        <v>2</v>
      </c>
      <c r="CC10" s="87" t="n">
        <v>4</v>
      </c>
      <c r="CD10" s="87" t="n">
        <v>1</v>
      </c>
      <c r="CE10" s="87" t="n">
        <v>0</v>
      </c>
      <c r="CF10" s="87" t="n">
        <v>0</v>
      </c>
      <c r="CG10" s="87" t="n">
        <v>0</v>
      </c>
      <c r="CH10" s="87" t="n">
        <v>0</v>
      </c>
      <c r="CI10" s="87" t="n">
        <v>0</v>
      </c>
      <c r="CJ10" s="87" t="n">
        <v>0</v>
      </c>
      <c r="CL10" s="3" t="n"/>
    </row>
    <row r="11" customFormat="1" s="1">
      <c r="A11" s="3" t="inlineStr">
        <is>
          <t>التميز والخدمات الحكومية</t>
        </is>
      </c>
      <c r="B11" s="3" t="inlineStr">
        <is>
          <t>الأبحاث والرصد</t>
        </is>
      </c>
      <c r="D11" s="3">
        <f>IF(E11="","",1+D10)</f>
        <v/>
      </c>
      <c r="E11" s="3" t="n"/>
      <c r="F11" s="3">
        <f>IF(D11="","",CONCATENATE(D11,". ",E11))</f>
        <v/>
      </c>
      <c r="G11" s="3" t="n"/>
      <c r="H11" s="3" t="n"/>
      <c r="I11" s="3" t="inlineStr">
        <is>
          <t>منجز</t>
        </is>
      </c>
      <c r="J11" s="3" t="n">
        <v>43</v>
      </c>
      <c r="L11" s="3">
        <f>IF(M11="","",1+L10)</f>
        <v/>
      </c>
      <c r="M11" s="3" t="n"/>
      <c r="N11" s="3">
        <f>IF(L11="","",CONCATENATE(L11,". ",M11))</f>
        <v/>
      </c>
      <c r="O11" s="3" t="n"/>
      <c r="P11" s="3" t="inlineStr">
        <is>
          <t>قيد التطوير</t>
        </is>
      </c>
      <c r="Q11" s="3" t="n">
        <v>26</v>
      </c>
      <c r="S11" s="3">
        <f>IF(T11="","",1+S10)</f>
        <v/>
      </c>
      <c r="T11" s="3" t="n"/>
      <c r="U11" s="3">
        <f>IF(S11="","",CONCATENATE(S11,". ",T11))</f>
        <v/>
      </c>
      <c r="V11" s="3" t="n"/>
      <c r="W11" s="3" t="n"/>
      <c r="Y11" s="3" t="n"/>
      <c r="Z11" s="3">
        <f>IF(Y11="","",1+Z10)</f>
        <v/>
      </c>
      <c r="AA11" s="3">
        <f>IF(Z11="","",CONCATENATE(Z11,". ",Y11))</f>
        <v/>
      </c>
      <c r="AB11" s="3" t="inlineStr">
        <is>
          <t>قيد المراجعة</t>
        </is>
      </c>
      <c r="AC11" s="3" t="n">
        <v>3</v>
      </c>
      <c r="AD11" s="3" t="n"/>
      <c r="AE11" s="3" t="n"/>
      <c r="AG11" s="5" t="n"/>
      <c r="AH11" s="3">
        <f>IF(AG11="","",1+AH10)</f>
        <v/>
      </c>
      <c r="AI11" s="3">
        <f>IF(AH11="","",CONCATENATE(AH11,". ",AG11))</f>
        <v/>
      </c>
      <c r="AJ11" s="3" t="n"/>
      <c r="AK11" s="3" t="inlineStr">
        <is>
          <t>Frozen</t>
        </is>
      </c>
      <c r="AL11" s="3" t="n">
        <v>3</v>
      </c>
      <c r="AM11" s="3" t="n"/>
      <c r="AN11" s="3" t="n"/>
      <c r="AO11" s="3" t="n"/>
      <c r="AU11" s="85" t="inlineStr">
        <is>
          <t>الاقتصاد والتنمية الاجتماعية</t>
        </is>
      </c>
      <c r="AV11" s="85" t="inlineStr">
        <is>
          <t>السياسات والإستراتيجيات الاجتماعية</t>
        </is>
      </c>
      <c r="AW11" s="85" t="inlineStr">
        <is>
          <t>الشهر السابق</t>
        </is>
      </c>
      <c r="AX11" s="85" t="n">
        <v>0</v>
      </c>
      <c r="AY11" s="85" t="inlineStr"/>
      <c r="AZ11" s="85" t="n">
        <v>17</v>
      </c>
      <c r="BA11" s="85" t="n">
        <v>4</v>
      </c>
      <c r="BB11" s="85" t="n">
        <v>0</v>
      </c>
      <c r="BC11" s="85" t="n">
        <v>2</v>
      </c>
      <c r="BD11" s="85" t="n">
        <v>0</v>
      </c>
      <c r="BE11" s="85" t="n">
        <v>23</v>
      </c>
      <c r="BF11" s="85" t="n">
        <v>6</v>
      </c>
      <c r="BG11" s="85" t="n">
        <v>3</v>
      </c>
      <c r="BH11" s="85" t="n">
        <v>14</v>
      </c>
      <c r="BI11" s="85" t="n">
        <v>12</v>
      </c>
      <c r="BJ11" s="85" t="n">
        <v>0</v>
      </c>
      <c r="BK11" s="85" t="n">
        <v>4</v>
      </c>
      <c r="BL11" s="85" t="n">
        <v>1</v>
      </c>
      <c r="BM11" s="85" t="n">
        <v>0</v>
      </c>
      <c r="BN11" s="85" t="n">
        <v>28</v>
      </c>
      <c r="BO11" s="85" t="n">
        <v>23</v>
      </c>
      <c r="BP11" s="85" t="n">
        <v>5</v>
      </c>
      <c r="BQ11" s="85" t="n">
        <v>0</v>
      </c>
      <c r="BR11" s="85" t="n">
        <v>912500</v>
      </c>
      <c r="BS11" s="85" t="n">
        <v>0</v>
      </c>
      <c r="BT11" s="85" t="n">
        <v>290000</v>
      </c>
      <c r="BU11" s="85" t="n">
        <v>622500</v>
      </c>
      <c r="BV11" s="87" t="n">
        <v>9</v>
      </c>
      <c r="BW11" s="87" t="n">
        <v>8</v>
      </c>
      <c r="BX11" s="87" t="n">
        <v>5</v>
      </c>
      <c r="BY11" s="87" t="n">
        <v>6</v>
      </c>
      <c r="BZ11" s="87" t="n">
        <v>21</v>
      </c>
      <c r="CA11" s="87" t="n">
        <v>2</v>
      </c>
      <c r="CB11" s="87" t="n">
        <v>14</v>
      </c>
      <c r="CC11" s="87" t="n">
        <v>0</v>
      </c>
      <c r="CD11" s="87" t="n">
        <v>1</v>
      </c>
      <c r="CE11" s="87" t="n">
        <v>1</v>
      </c>
      <c r="CF11" s="87" t="n">
        <v>0</v>
      </c>
      <c r="CG11" s="87" t="n">
        <v>0</v>
      </c>
      <c r="CH11" s="87" t="n">
        <v>0</v>
      </c>
      <c r="CI11" s="87" t="n">
        <v>0</v>
      </c>
      <c r="CJ11" s="87" t="n">
        <v>4</v>
      </c>
      <c r="CL11" s="3" t="n"/>
    </row>
    <row r="12" customFormat="1" s="1">
      <c r="A12" s="3" t="inlineStr">
        <is>
          <t>الاتصال الحكومي وشؤون الأمانة العامة</t>
        </is>
      </c>
      <c r="B12" s="3" t="inlineStr">
        <is>
          <t>الحوكمة</t>
        </is>
      </c>
      <c r="D12" s="3">
        <f>IF(E12="","",1+D11)</f>
        <v/>
      </c>
      <c r="E12" s="3" t="n"/>
      <c r="F12" s="3">
        <f>IF(D12="","",CONCATENATE(D12,". ",E12))</f>
        <v/>
      </c>
      <c r="G12" s="3" t="n"/>
      <c r="H12" s="3" t="n"/>
      <c r="I12" s="3" t="inlineStr">
        <is>
          <t>قيد التطوير</t>
        </is>
      </c>
      <c r="J12" s="3" t="n">
        <v>52</v>
      </c>
      <c r="L12" s="3">
        <f>IF(M12="","",1+L11)</f>
        <v/>
      </c>
      <c r="M12" s="3" t="n"/>
      <c r="N12" s="3">
        <f>IF(L12="","",CONCATENATE(L12,". ",M12))</f>
        <v/>
      </c>
      <c r="O12" s="3" t="n"/>
      <c r="P12" s="3" t="inlineStr">
        <is>
          <t>قيد المراجعة</t>
        </is>
      </c>
      <c r="Q12" s="3" t="n">
        <v>5</v>
      </c>
      <c r="S12" s="3">
        <f>IF(T12="","",1+S11)</f>
        <v/>
      </c>
      <c r="T12" s="3" t="n"/>
      <c r="U12" s="3">
        <f>IF(S12="","",CONCATENATE(S12,". ",T12))</f>
        <v/>
      </c>
      <c r="V12" s="3" t="n"/>
      <c r="W12" s="3" t="n"/>
      <c r="Y12" s="3" t="n"/>
      <c r="Z12" s="3">
        <f>IF(Y12="","",1+Z11)</f>
        <v/>
      </c>
      <c r="AA12" s="3">
        <f>IF(Z12="","",CONCATENATE(Z12,". ",Y12))</f>
        <v/>
      </c>
      <c r="AB12" s="3" t="inlineStr">
        <is>
          <t>قيد التطوير</t>
        </is>
      </c>
      <c r="AC12" s="3" t="n">
        <v>35</v>
      </c>
      <c r="AD12" s="3" t="n"/>
      <c r="AE12" s="3" t="n"/>
      <c r="AG12" s="5" t="n"/>
      <c r="AH12" s="3">
        <f>IF(AG12="","",1+AH11)</f>
        <v/>
      </c>
      <c r="AI12" s="3">
        <f>IF(AH12="","",CONCATENATE(AH12,". ",AG12))</f>
        <v/>
      </c>
      <c r="AJ12" s="3" t="n"/>
      <c r="AK12" s="3" t="inlineStr">
        <is>
          <t>Completed</t>
        </is>
      </c>
      <c r="AL12" s="3" t="n">
        <v>10</v>
      </c>
      <c r="AM12" s="3" t="n"/>
      <c r="AN12" s="3" t="n"/>
      <c r="AO12" s="3" t="n"/>
      <c r="AU12" s="85" t="inlineStr">
        <is>
          <t>الاقتصاد والتنمية الاجتماعية</t>
        </is>
      </c>
      <c r="AV12" s="85" t="n"/>
      <c r="AW12" s="85" t="inlineStr">
        <is>
          <t>الشهر السابق</t>
        </is>
      </c>
      <c r="AX12" s="85" t="n">
        <v>0</v>
      </c>
      <c r="AY12" s="85" t="inlineStr"/>
      <c r="AZ12" s="85" t="n">
        <v>0</v>
      </c>
      <c r="BA12" s="85" t="n">
        <v>0</v>
      </c>
      <c r="BB12" s="85" t="n">
        <v>0</v>
      </c>
      <c r="BC12" s="85" t="n">
        <v>0</v>
      </c>
      <c r="BD12" s="85" t="n">
        <v>0</v>
      </c>
      <c r="BE12" s="85" t="n">
        <v>0</v>
      </c>
      <c r="BF12" s="85" t="n">
        <v>0</v>
      </c>
      <c r="BG12" s="85" t="n">
        <v>0</v>
      </c>
      <c r="BH12" s="85" t="n">
        <v>0</v>
      </c>
      <c r="BI12" s="85" t="n">
        <v>0</v>
      </c>
      <c r="BJ12" s="85" t="n">
        <v>0</v>
      </c>
      <c r="BK12" s="85" t="n">
        <v>2</v>
      </c>
      <c r="BL12" s="85" t="n">
        <v>0</v>
      </c>
      <c r="BM12" s="85" t="n">
        <v>0</v>
      </c>
      <c r="BN12" s="85" t="n">
        <v>0</v>
      </c>
      <c r="BO12" s="85" t="n">
        <v>0</v>
      </c>
      <c r="BP12" s="85" t="n">
        <v>0</v>
      </c>
      <c r="BQ12" s="85" t="n">
        <v>0</v>
      </c>
      <c r="BR12" s="85" t="n">
        <v>772000</v>
      </c>
      <c r="BS12" s="85" t="n">
        <v>36942</v>
      </c>
      <c r="BT12" s="85" t="n">
        <v>272000</v>
      </c>
      <c r="BU12" s="85" t="n">
        <v>500000</v>
      </c>
      <c r="BV12" s="87" t="n">
        <v>0</v>
      </c>
      <c r="BW12" s="87" t="n">
        <v>0</v>
      </c>
      <c r="BX12" s="87" t="n">
        <v>0</v>
      </c>
      <c r="BY12" s="87" t="n">
        <v>0</v>
      </c>
      <c r="BZ12" s="87" t="n">
        <v>0</v>
      </c>
      <c r="CA12" s="87" t="n">
        <v>0</v>
      </c>
      <c r="CB12" s="87" t="n">
        <v>0</v>
      </c>
      <c r="CC12" s="87" t="n">
        <v>0</v>
      </c>
      <c r="CD12" s="87" t="n">
        <v>0</v>
      </c>
      <c r="CE12" s="87" t="n">
        <v>2</v>
      </c>
      <c r="CF12" s="87" t="n">
        <v>0</v>
      </c>
      <c r="CG12" s="87" t="n">
        <v>0</v>
      </c>
      <c r="CH12" s="87" t="n">
        <v>0</v>
      </c>
      <c r="CI12" s="87" t="n">
        <v>0</v>
      </c>
      <c r="CJ12" s="87" t="n">
        <v>2</v>
      </c>
      <c r="CL12" s="3" t="n"/>
    </row>
    <row r="13" customFormat="1" s="1">
      <c r="A13" s="3" t="n"/>
      <c r="B13" s="3" t="inlineStr">
        <is>
          <t>التشريعات الحكومية</t>
        </is>
      </c>
      <c r="D13" s="3">
        <f>IF(E13="","",1+D12)</f>
        <v/>
      </c>
      <c r="E13" s="3" t="n"/>
      <c r="F13" s="3">
        <f>IF(D13="","",CONCATENATE(D13,". ",E13))</f>
        <v/>
      </c>
      <c r="G13" s="3" t="n"/>
      <c r="H13" s="3" t="n"/>
      <c r="I13" s="3" t="inlineStr">
        <is>
          <t>قيد المراجعة</t>
        </is>
      </c>
      <c r="J13" s="3" t="n">
        <v>6</v>
      </c>
      <c r="L13" s="3">
        <f>IF(M13="","",1+L12)</f>
        <v/>
      </c>
      <c r="M13" s="3" t="n"/>
      <c r="N13" s="3">
        <f>IF(L13="","",CONCATENATE(L13,". ",M13))</f>
        <v/>
      </c>
      <c r="O13" s="3" t="n"/>
      <c r="P13" s="3" t="inlineStr">
        <is>
          <t>غير محدد</t>
        </is>
      </c>
      <c r="Q13" s="3" t="n">
        <v>1</v>
      </c>
      <c r="S13" s="3">
        <f>IF(T13="","",1+S12)</f>
        <v/>
      </c>
      <c r="T13" s="3" t="n"/>
      <c r="U13" s="3">
        <f>IF(S13="","",CONCATENATE(S13,". ",T13))</f>
        <v/>
      </c>
      <c r="V13" s="3" t="n"/>
      <c r="W13" s="3" t="n"/>
      <c r="Y13" s="3" t="n"/>
      <c r="Z13" s="3">
        <f>IF(Y13="","",1+Z12)</f>
        <v/>
      </c>
      <c r="AA13" s="3">
        <f>IF(Z13="","",CONCATENATE(Z13,". ",Y13))</f>
        <v/>
      </c>
      <c r="AB13" s="3" t="n"/>
      <c r="AC13" s="3" t="n"/>
      <c r="AD13" s="3" t="n"/>
      <c r="AE13" s="3" t="n"/>
      <c r="AG13" s="5" t="n"/>
      <c r="AH13" s="3">
        <f>IF(AG13="","",1+AH12)</f>
        <v/>
      </c>
      <c r="AI13" s="3">
        <f>IF(AH13="","",CONCATENATE(AH13,". ",AG13))</f>
        <v/>
      </c>
      <c r="AJ13" s="3" t="n"/>
      <c r="AK13" s="3" t="inlineStr">
        <is>
          <t>Not Started</t>
        </is>
      </c>
      <c r="AL13" s="3" t="n">
        <v>7</v>
      </c>
      <c r="AM13" s="3" t="n"/>
      <c r="AN13" s="3" t="n"/>
      <c r="AO13" s="3" t="n"/>
      <c r="AU13" s="85" t="inlineStr">
        <is>
          <t>التميز والخدمات الحكومية</t>
        </is>
      </c>
      <c r="AV13" s="85" t="inlineStr">
        <is>
          <t>التميز والخدمات الحكومية</t>
        </is>
      </c>
      <c r="AW13" s="85" t="inlineStr">
        <is>
          <t>الشهر السابق</t>
        </is>
      </c>
      <c r="AX13" s="85" t="n">
        <v>2</v>
      </c>
      <c r="AY13" s="85" t="n">
        <v>0.9583333333333333</v>
      </c>
      <c r="AZ13" s="85" t="n">
        <v>0</v>
      </c>
      <c r="BA13" s="85" t="n">
        <v>0</v>
      </c>
      <c r="BB13" s="85" t="n">
        <v>0</v>
      </c>
      <c r="BC13" s="85" t="n">
        <v>0</v>
      </c>
      <c r="BD13" s="85" t="n">
        <v>0</v>
      </c>
      <c r="BE13" s="85" t="n">
        <v>0</v>
      </c>
      <c r="BF13" s="85" t="n">
        <v>0</v>
      </c>
      <c r="BG13" s="85" t="n">
        <v>0</v>
      </c>
      <c r="BH13" s="85" t="n">
        <v>0</v>
      </c>
      <c r="BI13" s="85" t="n">
        <v>0</v>
      </c>
      <c r="BJ13" s="85" t="n">
        <v>0</v>
      </c>
      <c r="BK13" s="85" t="n">
        <v>8</v>
      </c>
      <c r="BL13" s="85" t="n">
        <v>0</v>
      </c>
      <c r="BM13" s="85" t="n">
        <v>0</v>
      </c>
      <c r="BN13" s="85" t="n">
        <v>1</v>
      </c>
      <c r="BO13" s="85" t="n">
        <v>1</v>
      </c>
      <c r="BP13" s="85" t="n">
        <v>0</v>
      </c>
      <c r="BQ13" s="85" t="n">
        <v>0</v>
      </c>
      <c r="BR13" s="85" t="n">
        <v>5370000</v>
      </c>
      <c r="BS13" s="85" t="n">
        <v>704044</v>
      </c>
      <c r="BT13" s="85" t="n">
        <v>1826903</v>
      </c>
      <c r="BU13" s="85" t="n">
        <v>3543097</v>
      </c>
      <c r="BV13" s="87" t="n">
        <v>0</v>
      </c>
      <c r="BW13" s="87" t="n">
        <v>0</v>
      </c>
      <c r="BX13" s="87" t="n">
        <v>0</v>
      </c>
      <c r="BY13" s="87" t="n">
        <v>0</v>
      </c>
      <c r="BZ13" s="87" t="n">
        <v>0</v>
      </c>
      <c r="CA13" s="87" t="n">
        <v>0</v>
      </c>
      <c r="CB13" s="87" t="n">
        <v>0</v>
      </c>
      <c r="CC13" s="87" t="n">
        <v>0</v>
      </c>
      <c r="CD13" s="87" t="n">
        <v>0</v>
      </c>
      <c r="CE13" s="87" t="n">
        <v>8</v>
      </c>
      <c r="CF13" s="87" t="n">
        <v>0</v>
      </c>
      <c r="CG13" s="87" t="n">
        <v>0</v>
      </c>
      <c r="CH13" s="87" t="n">
        <v>0</v>
      </c>
      <c r="CI13" s="87" t="n">
        <v>0</v>
      </c>
      <c r="CJ13" s="87" t="n">
        <v>8</v>
      </c>
      <c r="CL13" s="3" t="n"/>
    </row>
    <row r="14" customFormat="1" s="1">
      <c r="A14" s="3" t="n"/>
      <c r="B14" s="3" t="inlineStr">
        <is>
          <t>التنفيذ والأداء</t>
        </is>
      </c>
      <c r="D14" s="3">
        <f>IF(E14="","",1+D13)</f>
        <v/>
      </c>
      <c r="E14" s="3" t="n"/>
      <c r="F14" s="3">
        <f>IF(D14="","",CONCATENATE(D14,". ",E14))</f>
        <v/>
      </c>
      <c r="G14" s="3" t="n"/>
      <c r="H14" s="3" t="n"/>
      <c r="I14" s="3" t="n"/>
      <c r="J14" s="3" t="n"/>
      <c r="L14" s="3">
        <f>IF(M14="","",1+L13)</f>
        <v/>
      </c>
      <c r="M14" s="3" t="n"/>
      <c r="N14" s="3">
        <f>IF(L14="","",CONCATENATE(L14,". ",M14))</f>
        <v/>
      </c>
      <c r="O14" s="3" t="n"/>
      <c r="P14" s="3" t="n"/>
      <c r="Q14" s="3" t="n"/>
      <c r="S14" s="3">
        <f>IF(T14="","",1+S13)</f>
        <v/>
      </c>
      <c r="T14" s="3" t="n"/>
      <c r="U14" s="3">
        <f>IF(S14="","",CONCATENATE(S14,". ",T14))</f>
        <v/>
      </c>
      <c r="V14" s="3" t="n"/>
      <c r="W14" s="3" t="n"/>
      <c r="Y14" s="3" t="n"/>
      <c r="Z14" s="3">
        <f>IF(Y14="","",1+Z13)</f>
        <v/>
      </c>
      <c r="AA14" s="3">
        <f>IF(Z14="","",CONCATENATE(Z14,". ",Y14))</f>
        <v/>
      </c>
      <c r="AB14" s="3" t="n"/>
      <c r="AC14" s="3" t="n"/>
      <c r="AD14" s="3" t="n"/>
      <c r="AE14" s="3" t="n"/>
      <c r="AG14" s="3" t="n"/>
      <c r="AH14" s="3">
        <f>IF(AG14="","",1+AH13)</f>
        <v/>
      </c>
      <c r="AI14" s="3">
        <f>IF(AH14="","",CONCATENATE(AH14,". ",AG14))</f>
        <v/>
      </c>
      <c r="AJ14" s="3" t="n"/>
      <c r="AK14" s="3" t="inlineStr">
        <is>
          <t>Transferred</t>
        </is>
      </c>
      <c r="AL14" s="3" t="n">
        <v>2</v>
      </c>
      <c r="AM14" s="3" t="n"/>
      <c r="AN14" s="3" t="n"/>
      <c r="AO14" s="3" t="n"/>
      <c r="AU14" s="85" t="inlineStr">
        <is>
          <t>التميز والخدمات الحكومية</t>
        </is>
      </c>
      <c r="AV14" s="85" t="inlineStr">
        <is>
          <t>التقييم والدراسات</t>
        </is>
      </c>
      <c r="AW14" s="85" t="inlineStr">
        <is>
          <t>الشهر السابق</t>
        </is>
      </c>
      <c r="AX14" s="85" t="n">
        <v>0</v>
      </c>
      <c r="AY14" s="85" t="inlineStr"/>
      <c r="AZ14" s="85" t="n">
        <v>0</v>
      </c>
      <c r="BA14" s="85" t="n">
        <v>0</v>
      </c>
      <c r="BB14" s="85" t="n">
        <v>0</v>
      </c>
      <c r="BC14" s="85" t="n">
        <v>0</v>
      </c>
      <c r="BD14" s="85" t="n">
        <v>0</v>
      </c>
      <c r="BE14" s="85" t="n">
        <v>0</v>
      </c>
      <c r="BF14" s="85" t="n">
        <v>0</v>
      </c>
      <c r="BG14" s="85" t="n">
        <v>0</v>
      </c>
      <c r="BH14" s="85" t="n">
        <v>0</v>
      </c>
      <c r="BI14" s="85" t="n">
        <v>0</v>
      </c>
      <c r="BJ14" s="85" t="n">
        <v>0</v>
      </c>
      <c r="BK14" s="85" t="n">
        <v>12</v>
      </c>
      <c r="BL14" s="85" t="n">
        <v>2</v>
      </c>
      <c r="BM14" s="85" t="n">
        <v>0</v>
      </c>
      <c r="BN14" s="85" t="n">
        <v>0</v>
      </c>
      <c r="BO14" s="85" t="n">
        <v>0</v>
      </c>
      <c r="BP14" s="85" t="n">
        <v>0</v>
      </c>
      <c r="BQ14" s="85" t="n">
        <v>0</v>
      </c>
      <c r="BR14" s="94" t="n">
        <v>15480000</v>
      </c>
      <c r="BS14" s="85" t="n">
        <v>2311904</v>
      </c>
      <c r="BT14" s="85" t="n">
        <v>6312921</v>
      </c>
      <c r="BU14" s="85" t="n">
        <v>9167079</v>
      </c>
      <c r="BV14" s="87" t="n">
        <v>0</v>
      </c>
      <c r="BW14" s="87" t="n">
        <v>0</v>
      </c>
      <c r="BX14" s="87" t="n">
        <v>0</v>
      </c>
      <c r="BY14" s="87" t="n">
        <v>0</v>
      </c>
      <c r="BZ14" s="87" t="n">
        <v>0</v>
      </c>
      <c r="CA14" s="87" t="n">
        <v>0</v>
      </c>
      <c r="CB14" s="87" t="n">
        <v>0</v>
      </c>
      <c r="CC14" s="87" t="n">
        <v>0</v>
      </c>
      <c r="CD14" s="87" t="n">
        <v>0</v>
      </c>
      <c r="CE14" s="87" t="n">
        <v>9</v>
      </c>
      <c r="CF14" s="87" t="n">
        <v>1</v>
      </c>
      <c r="CG14" s="87" t="n">
        <v>0</v>
      </c>
      <c r="CH14" s="87" t="n">
        <v>1</v>
      </c>
      <c r="CI14" s="87" t="n">
        <v>0</v>
      </c>
      <c r="CJ14" s="87" t="n">
        <v>11</v>
      </c>
      <c r="CL14" s="3" t="n"/>
    </row>
    <row r="15" customFormat="1" s="1">
      <c r="A15" s="3" t="n"/>
      <c r="B15" s="3" t="inlineStr">
        <is>
          <t>السياسات والاستراتيجيات الصحية والعدل</t>
        </is>
      </c>
      <c r="D15" s="3">
        <f>IF(E15="","",1+D14)</f>
        <v/>
      </c>
      <c r="E15" s="3" t="n"/>
      <c r="F15" s="3">
        <f>IF(D15="","",CONCATENATE(D15,". ",E15))</f>
        <v/>
      </c>
      <c r="G15" s="3" t="n"/>
      <c r="H15" s="3" t="n"/>
      <c r="I15" s="3" t="n"/>
      <c r="J15" s="3" t="n"/>
      <c r="L15" s="3">
        <f>IF(M15="","",1+L14)</f>
        <v/>
      </c>
      <c r="M15" s="3" t="n"/>
      <c r="N15" s="3">
        <f>IF(L15="","",CONCATENATE(L15,". ",M15))</f>
        <v/>
      </c>
      <c r="O15" s="3" t="n"/>
      <c r="P15" s="3" t="n"/>
      <c r="Q15" s="3" t="n"/>
      <c r="S15" s="3">
        <f>IF(T15="","",1+S14)</f>
        <v/>
      </c>
      <c r="T15" s="3" t="n"/>
      <c r="U15" s="3">
        <f>IF(S15="","",CONCATENATE(S15,". ",T15))</f>
        <v/>
      </c>
      <c r="V15" s="3" t="n"/>
      <c r="W15" s="3" t="n"/>
      <c r="Y15" s="3" t="n"/>
      <c r="Z15" s="3">
        <f>IF(Y15="","",1+Z14)</f>
        <v/>
      </c>
      <c r="AA15" s="3">
        <f>IF(Z15="","",CONCATENATE(Z15,". ",Y15))</f>
        <v/>
      </c>
      <c r="AB15" s="3" t="n"/>
      <c r="AC15" s="3" t="n"/>
      <c r="AD15" s="3" t="n"/>
      <c r="AE15" s="3" t="n"/>
      <c r="AG15" s="3" t="n"/>
      <c r="AH15" s="3">
        <f>IF(AG15="","",1+AH14)</f>
        <v/>
      </c>
      <c r="AI15" s="3">
        <f>IF(AH15="","",CONCATENATE(AH15,". ",AG15))</f>
        <v/>
      </c>
      <c r="AJ15" s="3" t="n"/>
      <c r="AK15" s="3" t="inlineStr">
        <is>
          <t>Cancelled</t>
        </is>
      </c>
      <c r="AL15" s="3" t="n">
        <v>1</v>
      </c>
      <c r="AM15" s="3" t="n"/>
      <c r="AN15" s="3" t="n"/>
      <c r="AO15" s="3" t="n"/>
      <c r="AU15" s="85" t="inlineStr">
        <is>
          <t>التميز والخدمات الحكومية</t>
        </is>
      </c>
      <c r="AV15" s="85" t="n"/>
      <c r="AW15" s="85" t="inlineStr">
        <is>
          <t>الشهر السابق</t>
        </is>
      </c>
      <c r="AX15" s="85" t="n">
        <v>0</v>
      </c>
      <c r="AY15" s="85" t="inlineStr"/>
      <c r="AZ15" s="85" t="n">
        <v>3</v>
      </c>
      <c r="BA15" s="85" t="n">
        <v>2</v>
      </c>
      <c r="BB15" s="85" t="n">
        <v>0</v>
      </c>
      <c r="BC15" s="85" t="n">
        <v>0</v>
      </c>
      <c r="BD15" s="85" t="n">
        <v>0</v>
      </c>
      <c r="BE15" s="85" t="n">
        <v>0</v>
      </c>
      <c r="BF15" s="85" t="n">
        <v>0</v>
      </c>
      <c r="BG15" s="85" t="n">
        <v>0</v>
      </c>
      <c r="BH15" s="85" t="n">
        <v>0</v>
      </c>
      <c r="BI15" s="85" t="n">
        <v>0</v>
      </c>
      <c r="BJ15" s="85" t="n">
        <v>0</v>
      </c>
      <c r="BK15" s="85" t="n">
        <v>6</v>
      </c>
      <c r="BL15" s="85" t="n">
        <v>0</v>
      </c>
      <c r="BM15" s="85" t="n">
        <v>0</v>
      </c>
      <c r="BN15" s="85" t="n">
        <v>0</v>
      </c>
      <c r="BO15" s="85" t="n">
        <v>0</v>
      </c>
      <c r="BP15" s="85" t="n">
        <v>0</v>
      </c>
      <c r="BQ15" s="85" t="n">
        <v>0</v>
      </c>
      <c r="BR15" s="85" t="n">
        <v>3150000</v>
      </c>
      <c r="BS15" s="85" t="n">
        <v>971014</v>
      </c>
      <c r="BT15" s="85" t="n">
        <v>2019572</v>
      </c>
      <c r="BU15" s="85" t="n">
        <v>1130428</v>
      </c>
      <c r="BV15" s="87" t="n">
        <v>2</v>
      </c>
      <c r="BW15" s="87" t="n">
        <v>1</v>
      </c>
      <c r="BX15" s="87" t="n">
        <v>0</v>
      </c>
      <c r="BY15" s="87" t="n">
        <v>1</v>
      </c>
      <c r="BZ15" s="87" t="n">
        <v>0</v>
      </c>
      <c r="CA15" s="87" t="n">
        <v>0</v>
      </c>
      <c r="CB15" s="87" t="n">
        <v>0</v>
      </c>
      <c r="CC15" s="87" t="n">
        <v>0</v>
      </c>
      <c r="CD15" s="87" t="n">
        <v>0</v>
      </c>
      <c r="CE15" s="87" t="n">
        <v>6</v>
      </c>
      <c r="CF15" s="87" t="n">
        <v>0</v>
      </c>
      <c r="CG15" s="87" t="n">
        <v>0</v>
      </c>
      <c r="CH15" s="87" t="n">
        <v>0</v>
      </c>
      <c r="CI15" s="87" t="n">
        <v>0</v>
      </c>
      <c r="CJ15" s="87" t="n">
        <v>6</v>
      </c>
      <c r="CL15" s="3" t="n"/>
    </row>
    <row r="16" customFormat="1" s="1">
      <c r="A16" s="3" t="n"/>
      <c r="B16" s="3" t="inlineStr">
        <is>
          <t>السياسات والاستراتيجيات البيئية والبنية التحتية</t>
        </is>
      </c>
      <c r="D16" s="3">
        <f>IF(E16="","",1+D15)</f>
        <v/>
      </c>
      <c r="E16" s="3" t="n"/>
      <c r="F16" s="3">
        <f>IF(D16="","",CONCATENATE(D16,". ",E16))</f>
        <v/>
      </c>
      <c r="G16" s="3" t="n"/>
      <c r="H16" s="3" t="n"/>
      <c r="I16" s="3" t="n"/>
      <c r="J16" s="3" t="n"/>
      <c r="L16" s="3">
        <f>IF(M16="","",1+L15)</f>
        <v/>
      </c>
      <c r="M16" s="3" t="n"/>
      <c r="N16" s="3">
        <f>IF(L16="","",CONCATENATE(L16,". ",M16))</f>
        <v/>
      </c>
      <c r="O16" s="3" t="n"/>
      <c r="P16" s="3" t="n"/>
      <c r="Q16" s="3" t="n"/>
      <c r="S16" s="3">
        <f>IF(T16="","",1+S15)</f>
        <v/>
      </c>
      <c r="T16" s="3" t="n"/>
      <c r="U16" s="3">
        <f>IF(S16="","",CONCATENATE(S16,". ",T16))</f>
        <v/>
      </c>
      <c r="V16" s="3" t="n"/>
      <c r="W16" s="3" t="n"/>
      <c r="Y16" s="3" t="n"/>
      <c r="Z16" s="3">
        <f>IF(Y16="","",1+Z15)</f>
        <v/>
      </c>
      <c r="AA16" s="3">
        <f>IF(Z16="","",CONCATENATE(Z16,". ",Y16))</f>
        <v/>
      </c>
      <c r="AB16" s="3" t="n"/>
      <c r="AC16" s="3" t="n"/>
      <c r="AD16" s="3" t="n"/>
      <c r="AE16" s="3" t="n"/>
      <c r="AG16" s="3" t="n"/>
      <c r="AH16" s="3">
        <f>IF(AG16="","",1+AH15)</f>
        <v/>
      </c>
      <c r="AI16" s="3">
        <f>IF(AH16="","",CONCATENATE(AH16,". ",AG16))</f>
        <v/>
      </c>
      <c r="AJ16" s="3" t="n"/>
      <c r="AK16" s="3" t="n"/>
      <c r="AL16" s="3" t="n"/>
      <c r="AM16" s="3" t="n"/>
      <c r="AN16" s="3" t="n"/>
      <c r="AO16" s="3" t="n"/>
      <c r="AU16" s="85" t="inlineStr">
        <is>
          <t>التنمية المستدامة</t>
        </is>
      </c>
      <c r="AV16" s="85" t="inlineStr">
        <is>
          <t>السياسات والاستراتيجيات البيئية والبنية التحتية</t>
        </is>
      </c>
      <c r="AW16" s="85" t="inlineStr">
        <is>
          <t>الشهر السابق</t>
        </is>
      </c>
      <c r="AX16" s="85" t="n">
        <v>0</v>
      </c>
      <c r="AY16" s="85" t="inlineStr"/>
      <c r="AZ16" s="85" t="n">
        <v>10</v>
      </c>
      <c r="BA16" s="85" t="n">
        <v>1</v>
      </c>
      <c r="BB16" s="85" t="n">
        <v>0</v>
      </c>
      <c r="BC16" s="85" t="n">
        <v>2</v>
      </c>
      <c r="BD16" s="85" t="n">
        <v>1</v>
      </c>
      <c r="BE16" s="85" t="n">
        <v>39</v>
      </c>
      <c r="BF16" s="85" t="n">
        <v>10</v>
      </c>
      <c r="BG16" s="85" t="n">
        <v>1</v>
      </c>
      <c r="BH16" s="85" t="n">
        <v>23</v>
      </c>
      <c r="BI16" s="85" t="n">
        <v>14</v>
      </c>
      <c r="BJ16" s="85" t="n">
        <v>0</v>
      </c>
      <c r="BK16" s="85" t="n">
        <v>0</v>
      </c>
      <c r="BL16" s="85" t="n">
        <v>0</v>
      </c>
      <c r="BM16" s="85" t="n">
        <v>0</v>
      </c>
      <c r="BN16" s="85" t="n">
        <v>30</v>
      </c>
      <c r="BO16" s="85" t="n">
        <v>30</v>
      </c>
      <c r="BP16" s="85" t="n">
        <v>0</v>
      </c>
      <c r="BQ16" s="85" t="n">
        <v>0</v>
      </c>
      <c r="BR16" s="85" t="n">
        <v>0</v>
      </c>
      <c r="BS16" s="85" t="n">
        <v>0</v>
      </c>
      <c r="BT16" s="85" t="n">
        <v>0</v>
      </c>
      <c r="BU16" s="85" t="n">
        <v>0</v>
      </c>
      <c r="BV16" s="87" t="n">
        <v>6</v>
      </c>
      <c r="BW16" s="87" t="n">
        <v>4</v>
      </c>
      <c r="BX16" s="87" t="n">
        <v>5</v>
      </c>
      <c r="BY16" s="87" t="n">
        <v>1</v>
      </c>
      <c r="BZ16" s="87" t="n">
        <v>35</v>
      </c>
      <c r="CA16" s="87" t="n">
        <v>4</v>
      </c>
      <c r="CB16" s="87" t="n">
        <v>21</v>
      </c>
      <c r="CC16" s="87" t="n">
        <v>7</v>
      </c>
      <c r="CD16" s="87" t="n">
        <v>9</v>
      </c>
      <c r="CE16" s="87" t="n">
        <v>0</v>
      </c>
      <c r="CF16" s="87" t="n">
        <v>0</v>
      </c>
      <c r="CG16" s="87" t="n">
        <v>0</v>
      </c>
      <c r="CH16" s="87" t="n">
        <v>0</v>
      </c>
      <c r="CI16" s="87" t="n">
        <v>0</v>
      </c>
      <c r="CJ16" s="87" t="n">
        <v>0</v>
      </c>
      <c r="CL16" s="3" t="n"/>
    </row>
    <row r="17" customFormat="1" s="1">
      <c r="A17" s="3" t="n"/>
      <c r="B17" s="3" t="inlineStr">
        <is>
          <t>السياسات والإستراتيجيات الاجتماعية</t>
        </is>
      </c>
      <c r="D17" s="3">
        <f>IF(E17="","",1+D16)</f>
        <v/>
      </c>
      <c r="E17" s="3" t="n"/>
      <c r="F17" s="3">
        <f>IF(D17="","",CONCATENATE(D17,". ",E17))</f>
        <v/>
      </c>
      <c r="G17" s="3" t="n"/>
      <c r="H17" s="3" t="n"/>
      <c r="I17" s="3" t="n"/>
      <c r="J17" s="3" t="n"/>
      <c r="L17" s="3">
        <f>IF(M17="","",1+L16)</f>
        <v/>
      </c>
      <c r="M17" s="3" t="n"/>
      <c r="N17" s="3">
        <f>IF(L17="","",CONCATENATE(L17,". ",M17))</f>
        <v/>
      </c>
      <c r="O17" s="3" t="n"/>
      <c r="P17" s="3" t="n"/>
      <c r="Q17" s="3" t="n"/>
      <c r="S17" s="3">
        <f>IF(T17="","",1+S16)</f>
        <v/>
      </c>
      <c r="T17" s="3" t="n"/>
      <c r="U17" s="3">
        <f>IF(S17="","",CONCATENATE(S17,". ",T17))</f>
        <v/>
      </c>
      <c r="V17" s="3" t="n"/>
      <c r="W17" s="3" t="n"/>
      <c r="Y17" s="3" t="n"/>
      <c r="Z17" s="3">
        <f>IF(Y17="","",1+Z16)</f>
        <v/>
      </c>
      <c r="AA17" s="3">
        <f>IF(Z17="","",CONCATENATE(Z17,". ",Y17))</f>
        <v/>
      </c>
      <c r="AB17" s="3" t="n"/>
      <c r="AC17" s="3" t="n"/>
      <c r="AD17" s="3" t="n"/>
      <c r="AE17" s="3" t="n"/>
      <c r="AG17" s="3" t="n"/>
      <c r="AH17" s="3">
        <f>IF(AG17="","",1+AH16)</f>
        <v/>
      </c>
      <c r="AI17" s="3">
        <f>IF(AH17="","",CONCATENATE(AH17,". ",AG17))</f>
        <v/>
      </c>
      <c r="AJ17" s="3" t="n"/>
      <c r="AK17" s="3" t="n"/>
      <c r="AL17" s="3" t="n"/>
      <c r="AM17" s="3" t="n"/>
      <c r="AN17" s="3" t="n"/>
      <c r="AO17" s="3" t="n"/>
      <c r="AU17" s="85" t="inlineStr">
        <is>
          <t>التنمية المستدامة</t>
        </is>
      </c>
      <c r="AV17" s="85" t="inlineStr">
        <is>
          <t>السياسات والاستراتيجيات الصحية والعدل</t>
        </is>
      </c>
      <c r="AW17" s="85" t="inlineStr">
        <is>
          <t>الشهر السابق</t>
        </is>
      </c>
      <c r="AX17" s="85" t="n">
        <v>0</v>
      </c>
      <c r="AY17" s="85" t="inlineStr"/>
      <c r="AZ17" s="85" t="n">
        <v>2</v>
      </c>
      <c r="BA17" s="85" t="n">
        <v>0</v>
      </c>
      <c r="BB17" s="85" t="n">
        <v>0</v>
      </c>
      <c r="BC17" s="85" t="n">
        <v>2</v>
      </c>
      <c r="BD17" s="85" t="n">
        <v>0</v>
      </c>
      <c r="BE17" s="85" t="n">
        <v>30</v>
      </c>
      <c r="BF17" s="85" t="n">
        <v>12</v>
      </c>
      <c r="BG17" s="85" t="n">
        <v>0</v>
      </c>
      <c r="BH17" s="85" t="n">
        <v>13</v>
      </c>
      <c r="BI17" s="85" t="n">
        <v>2</v>
      </c>
      <c r="BJ17" s="85" t="n">
        <v>0</v>
      </c>
      <c r="BK17" s="85" t="n">
        <v>0</v>
      </c>
      <c r="BL17" s="85" t="n">
        <v>0</v>
      </c>
      <c r="BM17" s="85" t="n">
        <v>0</v>
      </c>
      <c r="BN17" s="85" t="n">
        <v>19</v>
      </c>
      <c r="BO17" s="85" t="n">
        <v>11</v>
      </c>
      <c r="BP17" s="85" t="n">
        <v>8</v>
      </c>
      <c r="BQ17" s="85" t="n">
        <v>0</v>
      </c>
      <c r="BR17" s="85" t="n">
        <v>0</v>
      </c>
      <c r="BS17" s="85" t="n">
        <v>0</v>
      </c>
      <c r="BT17" s="85" t="n">
        <v>0</v>
      </c>
      <c r="BU17" s="85" t="n">
        <v>0</v>
      </c>
      <c r="BV17" s="87" t="n">
        <v>0</v>
      </c>
      <c r="BW17" s="87" t="n">
        <v>2</v>
      </c>
      <c r="BX17" s="87" t="n">
        <v>0</v>
      </c>
      <c r="BY17" s="87" t="n">
        <v>0</v>
      </c>
      <c r="BZ17" s="87" t="n">
        <v>30</v>
      </c>
      <c r="CA17" s="87" t="n">
        <v>0</v>
      </c>
      <c r="CB17" s="87" t="n">
        <v>16</v>
      </c>
      <c r="CC17" s="87" t="n">
        <v>2</v>
      </c>
      <c r="CD17" s="87" t="n">
        <v>11</v>
      </c>
      <c r="CE17" s="87" t="n">
        <v>0</v>
      </c>
      <c r="CF17" s="87" t="n">
        <v>0</v>
      </c>
      <c r="CG17" s="87" t="n">
        <v>0</v>
      </c>
      <c r="CH17" s="87" t="n">
        <v>0</v>
      </c>
      <c r="CI17" s="87" t="n">
        <v>0</v>
      </c>
      <c r="CJ17" s="87" t="n">
        <v>0</v>
      </c>
      <c r="CL17" s="3" t="n"/>
    </row>
    <row r="18" customFormat="1" s="1">
      <c r="A18" s="3" t="n"/>
      <c r="B18" s="3" t="inlineStr">
        <is>
          <t>السياسات والإستراتيجيات الاقتصادية</t>
        </is>
      </c>
      <c r="D18" s="3">
        <f>IF(E18="","",1+D17)</f>
        <v/>
      </c>
      <c r="E18" s="3" t="n"/>
      <c r="F18" s="3">
        <f>IF(D18="","",CONCATENATE(D18,". ",E18))</f>
        <v/>
      </c>
      <c r="G18" s="3" t="n"/>
      <c r="H18" s="3" t="n"/>
      <c r="I18" s="3" t="n"/>
      <c r="J18" s="3" t="n"/>
      <c r="L18" s="3">
        <f>IF(M18="","",1+L17)</f>
        <v/>
      </c>
      <c r="M18" s="3" t="n"/>
      <c r="N18" s="3">
        <f>IF(L18="","",CONCATENATE(L18,". ",M18))</f>
        <v/>
      </c>
      <c r="O18" s="3" t="n"/>
      <c r="P18" s="3" t="n"/>
      <c r="Q18" s="3" t="n"/>
      <c r="S18" s="3">
        <f>IF(T18="","",1+S17)</f>
        <v/>
      </c>
      <c r="T18" s="3" t="n"/>
      <c r="U18" s="3">
        <f>IF(S18="","",CONCATENATE(S18,". ",T18))</f>
        <v/>
      </c>
      <c r="V18" s="3" t="n"/>
      <c r="W18" s="3" t="n"/>
      <c r="Y18" s="3" t="n"/>
      <c r="Z18" s="3">
        <f>IF(Y18="","",1+Z17)</f>
        <v/>
      </c>
      <c r="AA18" s="3">
        <f>IF(Z18="","",CONCATENATE(Z18,". ",Y18))</f>
        <v/>
      </c>
      <c r="AB18" s="3" t="n"/>
      <c r="AC18" s="3" t="n"/>
      <c r="AD18" s="3" t="n"/>
      <c r="AE18" s="3" t="n"/>
      <c r="AG18" s="3" t="n"/>
      <c r="AH18" s="3">
        <f>IF(AG18="","",1+AH17)</f>
        <v/>
      </c>
      <c r="AI18" s="3">
        <f>IF(AH18="","",CONCATENATE(AH18,". ",AG18))</f>
        <v/>
      </c>
      <c r="AJ18" s="3" t="n"/>
      <c r="AK18" s="3" t="n"/>
      <c r="AL18" s="3" t="n"/>
      <c r="AM18" s="3" t="n"/>
      <c r="AN18" s="3" t="n"/>
      <c r="AO18" s="3" t="n"/>
      <c r="AU18" s="85" t="inlineStr">
        <is>
          <t>التنمية المستدامة</t>
        </is>
      </c>
      <c r="AV18" s="85" t="n"/>
      <c r="AW18" s="85" t="inlineStr">
        <is>
          <t>الشهر السابق</t>
        </is>
      </c>
      <c r="AX18" s="85" t="n">
        <v>0</v>
      </c>
      <c r="AY18" s="85" t="inlineStr"/>
      <c r="AZ18" s="85" t="n">
        <v>0</v>
      </c>
      <c r="BA18" s="85" t="n">
        <v>0</v>
      </c>
      <c r="BB18" s="85" t="n">
        <v>0</v>
      </c>
      <c r="BC18" s="85" t="n">
        <v>0</v>
      </c>
      <c r="BD18" s="85" t="n">
        <v>0</v>
      </c>
      <c r="BE18" s="85" t="n">
        <v>0</v>
      </c>
      <c r="BF18" s="85" t="n">
        <v>0</v>
      </c>
      <c r="BG18" s="85" t="n">
        <v>0</v>
      </c>
      <c r="BH18" s="85" t="n">
        <v>0</v>
      </c>
      <c r="BI18" s="85" t="n">
        <v>0</v>
      </c>
      <c r="BJ18" s="85" t="n">
        <v>0</v>
      </c>
      <c r="BK18" s="85" t="n">
        <v>4</v>
      </c>
      <c r="BL18" s="85" t="n">
        <v>0</v>
      </c>
      <c r="BM18" s="85" t="n">
        <v>0</v>
      </c>
      <c r="BN18" s="85" t="n">
        <v>0</v>
      </c>
      <c r="BO18" s="85" t="n">
        <v>0</v>
      </c>
      <c r="BP18" s="85" t="n">
        <v>0</v>
      </c>
      <c r="BQ18" s="85" t="n">
        <v>0</v>
      </c>
      <c r="BR18" s="85" t="n">
        <v>3772000</v>
      </c>
      <c r="BS18" s="85" t="n">
        <v>36942</v>
      </c>
      <c r="BT18" s="85" t="n">
        <v>1747400</v>
      </c>
      <c r="BU18" s="85" t="n">
        <v>2024600</v>
      </c>
      <c r="BV18" s="87" t="n">
        <v>0</v>
      </c>
      <c r="BW18" s="87" t="n">
        <v>0</v>
      </c>
      <c r="BX18" s="87" t="n">
        <v>0</v>
      </c>
      <c r="BY18" s="87" t="n">
        <v>0</v>
      </c>
      <c r="BZ18" s="87" t="n">
        <v>0</v>
      </c>
      <c r="CA18" s="87" t="n">
        <v>0</v>
      </c>
      <c r="CB18" s="87" t="n">
        <v>0</v>
      </c>
      <c r="CC18" s="87" t="n">
        <v>0</v>
      </c>
      <c r="CD18" s="87" t="n">
        <v>0</v>
      </c>
      <c r="CE18" s="87" t="n">
        <v>2</v>
      </c>
      <c r="CF18" s="87" t="n">
        <v>1</v>
      </c>
      <c r="CG18" s="87" t="n">
        <v>0</v>
      </c>
      <c r="CH18" s="87" t="n">
        <v>0</v>
      </c>
      <c r="CI18" s="87" t="n">
        <v>0</v>
      </c>
      <c r="CJ18" s="87" t="n">
        <v>4</v>
      </c>
      <c r="CL18" s="3" t="n"/>
    </row>
    <row r="19" customFormat="1" s="1">
      <c r="A19" s="3" t="n"/>
      <c r="B19" s="3" t="inlineStr">
        <is>
          <t>التقييم والدراسات</t>
        </is>
      </c>
      <c r="D19" s="3">
        <f>IF(E19="","",1+D18)</f>
        <v/>
      </c>
      <c r="E19" s="3" t="n"/>
      <c r="F19" s="3" t="n"/>
      <c r="G19" s="3" t="n"/>
      <c r="H19" s="3" t="n"/>
      <c r="I19" s="3" t="n"/>
      <c r="J19" s="3" t="n"/>
      <c r="L19" s="3">
        <f>IF(M19="","",1+L18)</f>
        <v/>
      </c>
      <c r="M19" s="3" t="n"/>
      <c r="N19" s="3">
        <f>IF(L19="","",CONCATENATE(L19,". ",M19))</f>
        <v/>
      </c>
      <c r="O19" s="3" t="n"/>
      <c r="P19" s="3" t="n"/>
      <c r="Q19" s="3" t="n"/>
      <c r="S19" s="3">
        <f>IF(T19="","",1+S18)</f>
        <v/>
      </c>
      <c r="T19" s="3" t="n"/>
      <c r="U19" s="3">
        <f>IF(S19="","",CONCATENATE(S19,". ",T19))</f>
        <v/>
      </c>
      <c r="V19" s="3" t="n"/>
      <c r="W19" s="3" t="n"/>
      <c r="Y19" s="3" t="n"/>
      <c r="Z19" s="3">
        <f>IF(Y19="","",1+Z18)</f>
        <v/>
      </c>
      <c r="AA19" s="3">
        <f>IF(Z19="","",CONCATENATE(Z19,". ",Y19))</f>
        <v/>
      </c>
      <c r="AB19" s="3" t="n"/>
      <c r="AC19" s="3" t="n"/>
      <c r="AD19" s="3" t="n"/>
      <c r="AE19" s="3" t="n"/>
      <c r="AG19" s="3" t="n"/>
      <c r="AH19" s="3">
        <f>IF(AG19="","",1+AH18)</f>
        <v/>
      </c>
      <c r="AI19" s="3">
        <f>IF(AH19="","",CONCATENATE(AH19,". ",AG19))</f>
        <v/>
      </c>
      <c r="AJ19" s="3" t="n"/>
      <c r="AK19" s="3" t="n"/>
      <c r="AL19" s="3" t="n"/>
      <c r="AM19" s="3" t="n"/>
      <c r="AN19" s="3" t="n"/>
      <c r="AO19" s="3" t="n"/>
      <c r="AU19" s="85" t="inlineStr">
        <is>
          <t>الحوكمة</t>
        </is>
      </c>
      <c r="AV19" s="85" t="inlineStr">
        <is>
          <t>الحوكمة</t>
        </is>
      </c>
      <c r="AW19" s="85" t="inlineStr">
        <is>
          <t>الشهر السابق</t>
        </is>
      </c>
      <c r="AX19" s="85" t="n">
        <v>1</v>
      </c>
      <c r="AY19" s="85" t="n">
        <v>1</v>
      </c>
      <c r="AZ19" s="85" t="n">
        <v>4</v>
      </c>
      <c r="BA19" s="85" t="n">
        <v>1</v>
      </c>
      <c r="BB19" s="85" t="n">
        <v>0</v>
      </c>
      <c r="BC19" s="85" t="n">
        <v>0</v>
      </c>
      <c r="BD19" s="85" t="n">
        <v>0</v>
      </c>
      <c r="BE19" s="85" t="n">
        <v>5</v>
      </c>
      <c r="BF19" s="85" t="n">
        <v>2</v>
      </c>
      <c r="BG19" s="85" t="n">
        <v>0</v>
      </c>
      <c r="BH19" s="85" t="n">
        <v>7</v>
      </c>
      <c r="BI19" s="85" t="n">
        <v>0</v>
      </c>
      <c r="BJ19" s="85" t="n">
        <v>0</v>
      </c>
      <c r="BK19" s="85" t="n">
        <v>1</v>
      </c>
      <c r="BL19" s="85" t="n">
        <v>0</v>
      </c>
      <c r="BM19" s="85" t="n">
        <v>0</v>
      </c>
      <c r="BN19" s="85" t="n">
        <v>40</v>
      </c>
      <c r="BO19" s="85" t="n">
        <v>36</v>
      </c>
      <c r="BP19" s="85" t="n">
        <v>3</v>
      </c>
      <c r="BQ19" s="85" t="n">
        <v>0</v>
      </c>
      <c r="BR19" s="85" t="n">
        <v>1000000</v>
      </c>
      <c r="BS19" s="85" t="n">
        <v>0</v>
      </c>
      <c r="BT19" s="85" t="n">
        <v>0</v>
      </c>
      <c r="BU19" s="85" t="n">
        <v>1000000</v>
      </c>
      <c r="BV19" s="87" t="n">
        <v>1</v>
      </c>
      <c r="BW19" s="87" t="n">
        <v>3</v>
      </c>
      <c r="BX19" s="87" t="n">
        <v>0</v>
      </c>
      <c r="BY19" s="87" t="n">
        <v>3</v>
      </c>
      <c r="BZ19" s="87" t="n">
        <v>4</v>
      </c>
      <c r="CA19" s="87" t="n">
        <v>1</v>
      </c>
      <c r="CB19" s="87" t="n">
        <v>3</v>
      </c>
      <c r="CC19" s="87" t="n">
        <v>0</v>
      </c>
      <c r="CD19" s="87" t="n">
        <v>7</v>
      </c>
      <c r="CE19" s="87" t="n">
        <v>0</v>
      </c>
      <c r="CF19" s="87" t="n">
        <v>1</v>
      </c>
      <c r="CG19" s="87" t="n">
        <v>0</v>
      </c>
      <c r="CH19" s="87" t="n">
        <v>0</v>
      </c>
      <c r="CI19" s="87" t="n">
        <v>0</v>
      </c>
      <c r="CJ19" s="87" t="n">
        <v>1</v>
      </c>
      <c r="CL19" s="3" t="n"/>
    </row>
    <row r="20" customFormat="1" s="1">
      <c r="A20" s="3" t="n"/>
      <c r="B20" s="3" t="inlineStr">
        <is>
          <t>التميز والخدمات الحكومية</t>
        </is>
      </c>
      <c r="D20" s="3">
        <f>IF(E20="","",1+D19)</f>
        <v/>
      </c>
      <c r="E20" s="3" t="n"/>
      <c r="F20" s="3" t="n"/>
      <c r="G20" s="3" t="n"/>
      <c r="H20" s="3" t="n"/>
      <c r="I20" s="3" t="n"/>
      <c r="J20" s="3" t="n"/>
      <c r="L20" s="3">
        <f>IF(M20="","",1+L19)</f>
        <v/>
      </c>
      <c r="M20" s="3" t="n"/>
      <c r="N20" s="3">
        <f>IF(L20="","",CONCATENATE(L20,". ",M20))</f>
        <v/>
      </c>
      <c r="O20" s="3" t="n"/>
      <c r="P20" s="3" t="n"/>
      <c r="Q20" s="3" t="n"/>
      <c r="S20" s="3">
        <f>IF(T20="","",1+S19)</f>
        <v/>
      </c>
      <c r="T20" s="3" t="n"/>
      <c r="U20" s="3">
        <f>IF(S20="","",CONCATENATE(S20,". ",T20))</f>
        <v/>
      </c>
      <c r="V20" s="3" t="n"/>
      <c r="W20" s="3" t="n"/>
      <c r="Y20" s="3" t="n"/>
      <c r="Z20" s="3">
        <f>IF(Y20="","",1+Z19)</f>
        <v/>
      </c>
      <c r="AA20" s="3">
        <f>IF(Z20="","",CONCATENATE(Z20,". ",Y20))</f>
        <v/>
      </c>
      <c r="AB20" s="3" t="n"/>
      <c r="AC20" s="3" t="n"/>
      <c r="AD20" s="3" t="n"/>
      <c r="AE20" s="3" t="n"/>
      <c r="AG20" s="3" t="n"/>
      <c r="AH20" s="3">
        <f>IF(AG20="","",1+AH19)</f>
        <v/>
      </c>
      <c r="AI20" s="3">
        <f>IF(AH20="","",CONCATENATE(AH20,". ",AG20))</f>
        <v/>
      </c>
      <c r="AJ20" s="3" t="n"/>
      <c r="AK20" s="3" t="n"/>
      <c r="AL20" s="3" t="n"/>
      <c r="AM20" s="3" t="n"/>
      <c r="AN20" s="3" t="n"/>
      <c r="AO20" s="3" t="n"/>
      <c r="AU20" s="85" t="inlineStr">
        <is>
          <t>الحوكمة</t>
        </is>
      </c>
      <c r="AV20" s="85" t="inlineStr">
        <is>
          <t>التشريعات الحكومية</t>
        </is>
      </c>
      <c r="AW20" s="85" t="inlineStr">
        <is>
          <t>الشهر السابق</t>
        </is>
      </c>
      <c r="AX20" s="85" t="n">
        <v>9</v>
      </c>
      <c r="AY20" s="85" t="n">
        <v>1</v>
      </c>
      <c r="AZ20" s="85" t="n">
        <v>0</v>
      </c>
      <c r="BA20" s="85" t="n">
        <v>0</v>
      </c>
      <c r="BB20" s="85" t="n">
        <v>0</v>
      </c>
      <c r="BC20" s="85" t="n">
        <v>0</v>
      </c>
      <c r="BD20" s="85" t="n">
        <v>0</v>
      </c>
      <c r="BE20" s="85" t="n">
        <v>0</v>
      </c>
      <c r="BF20" s="85" t="n">
        <v>0</v>
      </c>
      <c r="BG20" s="85" t="n">
        <v>0</v>
      </c>
      <c r="BH20" s="85" t="n">
        <v>0</v>
      </c>
      <c r="BI20" s="85" t="n">
        <v>0</v>
      </c>
      <c r="BJ20" s="85" t="n">
        <v>0</v>
      </c>
      <c r="BK20" s="85" t="n">
        <v>1</v>
      </c>
      <c r="BL20" s="85" t="n">
        <v>0</v>
      </c>
      <c r="BM20" s="85" t="n">
        <v>0</v>
      </c>
      <c r="BN20" s="85" t="n">
        <v>7</v>
      </c>
      <c r="BO20" s="85" t="n">
        <v>6</v>
      </c>
      <c r="BP20" s="85" t="n">
        <v>0</v>
      </c>
      <c r="BQ20" s="85" t="n">
        <v>1</v>
      </c>
      <c r="BR20" s="85" t="n">
        <v>26000</v>
      </c>
      <c r="BS20" s="85" t="n">
        <v>0</v>
      </c>
      <c r="BT20" s="85" t="n">
        <v>0</v>
      </c>
      <c r="BU20" s="85" t="n">
        <v>26000</v>
      </c>
      <c r="BV20" s="87" t="n">
        <v>0</v>
      </c>
      <c r="BW20" s="87" t="n">
        <v>0</v>
      </c>
      <c r="BX20" s="87" t="n">
        <v>0</v>
      </c>
      <c r="BY20" s="87" t="n">
        <v>0</v>
      </c>
      <c r="BZ20" s="87" t="n">
        <v>0</v>
      </c>
      <c r="CA20" s="87" t="n">
        <v>0</v>
      </c>
      <c r="CB20" s="87" t="n">
        <v>0</v>
      </c>
      <c r="CC20" s="87" t="n">
        <v>0</v>
      </c>
      <c r="CD20" s="87" t="n">
        <v>0</v>
      </c>
      <c r="CE20" s="87" t="n">
        <v>0</v>
      </c>
      <c r="CF20" s="87" t="n">
        <v>0</v>
      </c>
      <c r="CG20" s="87" t="n">
        <v>0</v>
      </c>
      <c r="CH20" s="87" t="n">
        <v>0</v>
      </c>
      <c r="CI20" s="87" t="n">
        <v>0</v>
      </c>
      <c r="CJ20" s="87" t="n">
        <v>1</v>
      </c>
      <c r="CL20" s="3" t="n"/>
    </row>
    <row r="21" customFormat="1" s="1">
      <c r="A21" s="3" t="n"/>
      <c r="B21" s="3" t="inlineStr">
        <is>
          <t>الاتصال الحكومي</t>
        </is>
      </c>
      <c r="D21" s="3">
        <f>IF(E21="","",1+D20)</f>
        <v/>
      </c>
      <c r="E21" s="3" t="n"/>
      <c r="F21" s="3" t="n"/>
      <c r="G21" s="3" t="n"/>
      <c r="H21" s="3" t="n"/>
      <c r="I21" s="3" t="n"/>
      <c r="J21" s="3" t="n"/>
      <c r="L21" s="3">
        <f>IF(M21="","",1+L20)</f>
        <v/>
      </c>
      <c r="M21" s="3" t="n"/>
      <c r="N21" s="3">
        <f>IF(L21="","",CONCATENATE(L21,". ",M21))</f>
        <v/>
      </c>
      <c r="O21" s="3" t="n"/>
      <c r="P21" s="3" t="n"/>
      <c r="Q21" s="3" t="n"/>
      <c r="S21" s="3">
        <f>IF(T21="","",1+S20)</f>
        <v/>
      </c>
      <c r="T21" s="3" t="n"/>
      <c r="U21" s="3">
        <f>IF(S21="","",CONCATENATE(S21,". ",T21))</f>
        <v/>
      </c>
      <c r="V21" s="3" t="n"/>
      <c r="W21" s="3" t="n"/>
      <c r="Y21" s="3" t="n"/>
      <c r="Z21" s="3">
        <f>IF(Y21="","",1+Z20)</f>
        <v/>
      </c>
      <c r="AA21" s="3">
        <f>IF(Z21="","",CONCATENATE(Z21,". ",Y21))</f>
        <v/>
      </c>
      <c r="AB21" s="3" t="n"/>
      <c r="AC21" s="3" t="n"/>
      <c r="AD21" s="3" t="n"/>
      <c r="AE21" s="3" t="n"/>
      <c r="AG21" s="3" t="n"/>
      <c r="AH21" s="3">
        <f>IF(AG21="","",1+AH20)</f>
        <v/>
      </c>
      <c r="AI21" s="3">
        <f>IF(AH21="","",CONCATENATE(AH21,". ",AG21))</f>
        <v/>
      </c>
      <c r="AJ21" s="3" t="n"/>
      <c r="AK21" s="3" t="n"/>
      <c r="AL21" s="3" t="n"/>
      <c r="AM21" s="3" t="n"/>
      <c r="AN21" s="3" t="n"/>
      <c r="AO21" s="3" t="n"/>
      <c r="AU21" s="85" t="inlineStr">
        <is>
          <t>الحوكمة</t>
        </is>
      </c>
      <c r="AV21" s="85" t="inlineStr">
        <is>
          <t>التنفيذ والأداء</t>
        </is>
      </c>
      <c r="AW21" s="85" t="inlineStr">
        <is>
          <t>الشهر السابق</t>
        </is>
      </c>
      <c r="AX21" s="85" t="n">
        <v>5</v>
      </c>
      <c r="AY21" s="85" t="n">
        <v>0.4770876705481063</v>
      </c>
      <c r="AZ21" s="85" t="n">
        <v>0</v>
      </c>
      <c r="BA21" s="85" t="n">
        <v>0</v>
      </c>
      <c r="BB21" s="85" t="n">
        <v>0</v>
      </c>
      <c r="BC21" s="85" t="n">
        <v>0</v>
      </c>
      <c r="BD21" s="85" t="n">
        <v>0</v>
      </c>
      <c r="BE21" s="85" t="n">
        <v>0</v>
      </c>
      <c r="BF21" s="85" t="n">
        <v>0</v>
      </c>
      <c r="BG21" s="85" t="n">
        <v>0</v>
      </c>
      <c r="BH21" s="85" t="n">
        <v>0</v>
      </c>
      <c r="BI21" s="85" t="n">
        <v>0</v>
      </c>
      <c r="BJ21" s="85" t="n">
        <v>0</v>
      </c>
      <c r="BK21" s="85" t="n">
        <v>2</v>
      </c>
      <c r="BL21" s="85" t="n">
        <v>0</v>
      </c>
      <c r="BM21" s="85" t="n">
        <v>0</v>
      </c>
      <c r="BN21" s="85" t="n">
        <v>0</v>
      </c>
      <c r="BO21" s="85" t="n">
        <v>0</v>
      </c>
      <c r="BP21" s="85" t="n">
        <v>0</v>
      </c>
      <c r="BQ21" s="85" t="n">
        <v>0</v>
      </c>
      <c r="BR21" s="85" t="n">
        <v>3675000</v>
      </c>
      <c r="BS21" s="85" t="n">
        <v>562500</v>
      </c>
      <c r="BT21" s="85" t="n">
        <v>675000</v>
      </c>
      <c r="BU21" s="85" t="n">
        <v>3000000</v>
      </c>
      <c r="BV21" s="87" t="n">
        <v>0</v>
      </c>
      <c r="BW21" s="87" t="n">
        <v>0</v>
      </c>
      <c r="BX21" s="87" t="n">
        <v>0</v>
      </c>
      <c r="BY21" s="87" t="n">
        <v>0</v>
      </c>
      <c r="BZ21" s="87" t="n">
        <v>0</v>
      </c>
      <c r="CA21" s="87" t="n">
        <v>0</v>
      </c>
      <c r="CB21" s="87" t="n">
        <v>0</v>
      </c>
      <c r="CC21" s="87" t="n">
        <v>0</v>
      </c>
      <c r="CD21" s="87" t="n">
        <v>0</v>
      </c>
      <c r="CE21" s="87" t="n">
        <v>2</v>
      </c>
      <c r="CF21" s="87" t="n">
        <v>0</v>
      </c>
      <c r="CG21" s="87" t="n">
        <v>0</v>
      </c>
      <c r="CH21" s="87" t="n">
        <v>0</v>
      </c>
      <c r="CI21" s="87" t="n">
        <v>0</v>
      </c>
      <c r="CJ21" s="87" t="n">
        <v>2</v>
      </c>
      <c r="CL21" s="3" t="n"/>
    </row>
    <row r="22" customFormat="1" s="1">
      <c r="A22" s="3" t="n"/>
      <c r="B22" s="3" t="inlineStr">
        <is>
          <t>الاتصال الداخلي</t>
        </is>
      </c>
      <c r="D22" s="3">
        <f>IF(E22="","",1+D21)</f>
        <v/>
      </c>
      <c r="E22" s="3" t="n"/>
      <c r="F22" s="3" t="n"/>
      <c r="G22" s="3" t="n"/>
      <c r="H22" s="3" t="n"/>
      <c r="I22" s="3" t="n"/>
      <c r="J22" s="3" t="n"/>
      <c r="L22" s="3">
        <f>IF(M22="","",1+L21)</f>
        <v/>
      </c>
      <c r="M22" s="3" t="n"/>
      <c r="N22" s="3">
        <f>IF(L22="","",CONCATENATE(L22,". ",M22))</f>
        <v/>
      </c>
      <c r="O22" s="3" t="n"/>
      <c r="P22" s="3" t="n"/>
      <c r="Q22" s="3" t="n"/>
      <c r="S22" s="3">
        <f>IF(T22="","",1+S21)</f>
        <v/>
      </c>
      <c r="T22" s="3" t="n"/>
      <c r="U22" s="3">
        <f>IF(S22="","",CONCATENATE(S22,". ",T22))</f>
        <v/>
      </c>
      <c r="V22" s="3" t="n"/>
      <c r="W22" s="3" t="n"/>
      <c r="Y22" s="3" t="n"/>
      <c r="Z22" s="3">
        <f>IF(Y22="","",1+Z21)</f>
        <v/>
      </c>
      <c r="AA22" s="3">
        <f>IF(Z22="","",CONCATENATE(Z22,". ",Y22))</f>
        <v/>
      </c>
      <c r="AB22" s="3" t="n"/>
      <c r="AC22" s="3" t="n"/>
      <c r="AD22" s="3" t="n"/>
      <c r="AE22" s="3" t="n"/>
      <c r="AG22" s="3" t="n"/>
      <c r="AH22" s="3">
        <f>IF(AG22="","",1+AH21)</f>
        <v/>
      </c>
      <c r="AI22" s="3">
        <f>IF(AH22="","",CONCATENATE(AH22,". ",AG22))</f>
        <v/>
      </c>
      <c r="AJ22" s="3" t="n"/>
      <c r="AK22" s="3" t="n"/>
      <c r="AL22" s="3" t="n"/>
      <c r="AM22" s="3" t="n"/>
      <c r="AN22" s="3" t="n"/>
      <c r="AO22" s="3" t="n"/>
      <c r="AU22" s="85" t="inlineStr">
        <is>
          <t>الحوكمة</t>
        </is>
      </c>
      <c r="AV22" s="85" t="n"/>
      <c r="AW22" s="85" t="inlineStr">
        <is>
          <t>الشهر السابق</t>
        </is>
      </c>
      <c r="AX22" s="85" t="n">
        <v>0</v>
      </c>
      <c r="AY22" s="85" t="inlineStr"/>
      <c r="AZ22" s="85" t="n">
        <v>0</v>
      </c>
      <c r="BA22" s="85" t="n">
        <v>0</v>
      </c>
      <c r="BB22" s="85" t="n">
        <v>0</v>
      </c>
      <c r="BC22" s="85" t="n">
        <v>0</v>
      </c>
      <c r="BD22" s="85" t="n">
        <v>0</v>
      </c>
      <c r="BE22" s="85" t="n">
        <v>0</v>
      </c>
      <c r="BF22" s="85" t="n">
        <v>0</v>
      </c>
      <c r="BG22" s="85" t="n">
        <v>0</v>
      </c>
      <c r="BH22" s="85" t="n">
        <v>0</v>
      </c>
      <c r="BI22" s="85" t="n">
        <v>0</v>
      </c>
      <c r="BJ22" s="85" t="n">
        <v>0</v>
      </c>
      <c r="BK22" s="85" t="n">
        <v>2</v>
      </c>
      <c r="BL22" s="85" t="n">
        <v>0</v>
      </c>
      <c r="BM22" s="85" t="n">
        <v>0</v>
      </c>
      <c r="BN22" s="85" t="n">
        <v>0</v>
      </c>
      <c r="BO22" s="85" t="n">
        <v>0</v>
      </c>
      <c r="BP22" s="85" t="n">
        <v>0</v>
      </c>
      <c r="BQ22" s="85" t="n">
        <v>0</v>
      </c>
      <c r="BR22" s="85" t="n">
        <v>772000</v>
      </c>
      <c r="BS22" s="85" t="n">
        <v>36942</v>
      </c>
      <c r="BT22" s="85" t="n">
        <v>272000</v>
      </c>
      <c r="BU22" s="85" t="n">
        <v>500000</v>
      </c>
      <c r="BV22" s="87" t="n">
        <v>0</v>
      </c>
      <c r="BW22" s="87" t="n">
        <v>0</v>
      </c>
      <c r="BX22" s="87" t="n">
        <v>0</v>
      </c>
      <c r="BY22" s="87" t="n">
        <v>0</v>
      </c>
      <c r="BZ22" s="87" t="n">
        <v>0</v>
      </c>
      <c r="CA22" s="87" t="n">
        <v>0</v>
      </c>
      <c r="CB22" s="87" t="n">
        <v>0</v>
      </c>
      <c r="CC22" s="87" t="n">
        <v>0</v>
      </c>
      <c r="CD22" s="87" t="n">
        <v>0</v>
      </c>
      <c r="CE22" s="87" t="n">
        <v>2</v>
      </c>
      <c r="CF22" s="87" t="n">
        <v>0</v>
      </c>
      <c r="CG22" s="87" t="n">
        <v>0</v>
      </c>
      <c r="CH22" s="87" t="n">
        <v>0</v>
      </c>
      <c r="CI22" s="87" t="n">
        <v>0</v>
      </c>
      <c r="CJ22" s="87" t="n">
        <v>2</v>
      </c>
      <c r="CL22" s="3" t="n"/>
    </row>
    <row r="23" customFormat="1" s="1">
      <c r="A23" s="3" t="n"/>
      <c r="B23" s="3" t="inlineStr">
        <is>
          <t>الخدمات المؤسسية</t>
        </is>
      </c>
      <c r="D23" s="3">
        <f>IF(E23="","",1+D22)</f>
        <v/>
      </c>
      <c r="E23" s="3" t="n"/>
      <c r="F23" s="3" t="n"/>
      <c r="G23" s="3" t="n"/>
      <c r="H23" s="3" t="n"/>
      <c r="I23" s="3" t="n"/>
      <c r="J23" s="3" t="n"/>
      <c r="L23" s="3">
        <f>IF(M23="","",1+L22)</f>
        <v/>
      </c>
      <c r="M23" s="3" t="n"/>
      <c r="N23" s="3">
        <f>IF(L23="","",CONCATENATE(L23,". ",M23))</f>
        <v/>
      </c>
      <c r="O23" s="3" t="n"/>
      <c r="P23" s="3" t="n"/>
      <c r="Q23" s="3" t="n"/>
      <c r="S23" s="3">
        <f>IF(T23="","",1+S22)</f>
        <v/>
      </c>
      <c r="T23" s="3" t="n"/>
      <c r="U23" s="3">
        <f>IF(S23="","",CONCATENATE(S23,". ",T23))</f>
        <v/>
      </c>
      <c r="V23" s="3" t="n"/>
      <c r="W23" s="3" t="n"/>
      <c r="Y23" s="3" t="n"/>
      <c r="Z23" s="3">
        <f>IF(Y23="","",1+Z22)</f>
        <v/>
      </c>
      <c r="AA23" s="3">
        <f>IF(Z23="","",CONCATENATE(Z23,". ",Y23))</f>
        <v/>
      </c>
      <c r="AB23" s="3" t="n"/>
      <c r="AC23" s="3" t="n"/>
      <c r="AD23" s="3" t="n"/>
      <c r="AE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U23" s="85" t="inlineStr">
        <is>
          <t>الاتصال الحكومي وشؤون الأمانة العامة</t>
        </is>
      </c>
      <c r="AV23" s="85" t="n"/>
      <c r="AW23" s="85" t="inlineStr">
        <is>
          <t>الشهر السابق</t>
        </is>
      </c>
      <c r="AX23" s="85" t="n">
        <v>0</v>
      </c>
      <c r="AY23" s="85" t="inlineStr"/>
      <c r="AZ23" s="85" t="n">
        <v>0</v>
      </c>
      <c r="BA23" s="85" t="n">
        <v>0</v>
      </c>
      <c r="BB23" s="85" t="n">
        <v>0</v>
      </c>
      <c r="BC23" s="85" t="n">
        <v>0</v>
      </c>
      <c r="BD23" s="85" t="n">
        <v>0</v>
      </c>
      <c r="BE23" s="85" t="n">
        <v>0</v>
      </c>
      <c r="BF23" s="85" t="n">
        <v>0</v>
      </c>
      <c r="BG23" s="85" t="n">
        <v>0</v>
      </c>
      <c r="BH23" s="85" t="n">
        <v>0</v>
      </c>
      <c r="BI23" s="85" t="n">
        <v>0</v>
      </c>
      <c r="BJ23" s="85" t="n">
        <v>0</v>
      </c>
      <c r="BK23" s="85" t="n">
        <v>2</v>
      </c>
      <c r="BL23" s="85" t="n">
        <v>0</v>
      </c>
      <c r="BM23" s="85" t="n">
        <v>0</v>
      </c>
      <c r="BN23" s="85" t="n">
        <v>0</v>
      </c>
      <c r="BO23" s="85" t="n">
        <v>0</v>
      </c>
      <c r="BP23" s="85" t="n">
        <v>0</v>
      </c>
      <c r="BQ23" s="85" t="n">
        <v>0</v>
      </c>
      <c r="BR23" s="85" t="n">
        <v>772000</v>
      </c>
      <c r="BS23" s="85" t="n">
        <v>36942</v>
      </c>
      <c r="BT23" s="85" t="n">
        <v>772000</v>
      </c>
      <c r="BU23" s="85" t="n">
        <v>0</v>
      </c>
      <c r="BV23" s="87" t="n">
        <v>0</v>
      </c>
      <c r="BW23" s="87" t="n">
        <v>0</v>
      </c>
      <c r="BX23" s="87" t="n">
        <v>0</v>
      </c>
      <c r="BY23" s="87" t="n">
        <v>0</v>
      </c>
      <c r="BZ23" s="87" t="n">
        <v>0</v>
      </c>
      <c r="CA23" s="87" t="n">
        <v>0</v>
      </c>
      <c r="CB23" s="87" t="n">
        <v>0</v>
      </c>
      <c r="CC23" s="87" t="n">
        <v>0</v>
      </c>
      <c r="CD23" s="87" t="n">
        <v>0</v>
      </c>
      <c r="CE23" s="87" t="n">
        <v>2</v>
      </c>
      <c r="CF23" s="87" t="n">
        <v>0</v>
      </c>
      <c r="CG23" s="87" t="n">
        <v>0</v>
      </c>
      <c r="CH23" s="87" t="n">
        <v>0</v>
      </c>
      <c r="CI23" s="87" t="n">
        <v>0</v>
      </c>
      <c r="CJ23" s="87" t="n">
        <v>2</v>
      </c>
      <c r="CL23" s="3" t="n"/>
      <c r="CU23" s="49" t="n"/>
      <c r="CV23" s="49" t="n"/>
      <c r="CW23" s="49" t="n"/>
      <c r="CX23" s="49" t="n"/>
    </row>
    <row r="24" customFormat="1" s="1">
      <c r="A24" s="3" t="n"/>
      <c r="B24" s="3" t="inlineStr">
        <is>
          <t>تميز الموارد البشرية</t>
        </is>
      </c>
      <c r="D24" s="3" t="n"/>
      <c r="E24" s="3" t="n"/>
      <c r="F24" s="3" t="n"/>
      <c r="G24" s="3" t="n"/>
      <c r="H24" s="3" t="n"/>
      <c r="I24" s="3" t="n"/>
      <c r="J24" s="3" t="n"/>
      <c r="L24" s="3" t="n"/>
      <c r="M24" s="3" t="n"/>
      <c r="N24" s="3" t="n"/>
      <c r="O24" s="3" t="n"/>
      <c r="P24" s="3" t="n"/>
      <c r="Q24" s="3" t="n"/>
      <c r="S24" s="3" t="n"/>
      <c r="T24" s="3" t="n"/>
      <c r="U24" s="3" t="n"/>
      <c r="V24" s="3" t="n"/>
      <c r="W24" s="3" t="n"/>
      <c r="Y24" s="3" t="n"/>
      <c r="Z24" s="3" t="n"/>
      <c r="AA24" s="3" t="n"/>
      <c r="AB24" s="3" t="n"/>
      <c r="AC24" s="3" t="n"/>
      <c r="AD24" s="3" t="n"/>
      <c r="AE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U24" s="85" t="inlineStr">
        <is>
          <t>الاتصال الحكومي وشؤون الأمانة العامة</t>
        </is>
      </c>
      <c r="AV24" s="85" t="inlineStr">
        <is>
          <t>الاتصال الحكومي</t>
        </is>
      </c>
      <c r="AW24" s="85" t="inlineStr">
        <is>
          <t>الشهر السابق</t>
        </is>
      </c>
      <c r="AX24" s="85" t="n">
        <v>4</v>
      </c>
      <c r="AY24" s="85" t="n">
        <v>1</v>
      </c>
      <c r="AZ24" s="85" t="n">
        <v>2</v>
      </c>
      <c r="BA24" s="85" t="n">
        <v>0</v>
      </c>
      <c r="BB24" s="85" t="n">
        <v>0</v>
      </c>
      <c r="BC24" s="85" t="n">
        <v>0</v>
      </c>
      <c r="BD24" s="85" t="n">
        <v>0</v>
      </c>
      <c r="BE24" s="85" t="n">
        <v>0</v>
      </c>
      <c r="BF24" s="85" t="n">
        <v>0</v>
      </c>
      <c r="BG24" s="85" t="n">
        <v>0</v>
      </c>
      <c r="BH24" s="85" t="n">
        <v>0</v>
      </c>
      <c r="BI24" s="85" t="n">
        <v>0</v>
      </c>
      <c r="BJ24" s="85" t="n">
        <v>0</v>
      </c>
      <c r="BK24" s="85" t="n">
        <v>10</v>
      </c>
      <c r="BL24" s="85" t="n">
        <v>0</v>
      </c>
      <c r="BM24" s="85" t="n">
        <v>0</v>
      </c>
      <c r="BN24" s="85" t="n">
        <v>2</v>
      </c>
      <c r="BO24" s="85" t="n">
        <v>2</v>
      </c>
      <c r="BP24" s="85" t="n">
        <v>0</v>
      </c>
      <c r="BQ24" s="85" t="n">
        <v>0</v>
      </c>
      <c r="BR24" s="85" t="n">
        <v>4685000</v>
      </c>
      <c r="BS24" s="85" t="n">
        <v>996084</v>
      </c>
      <c r="BT24" s="85" t="n">
        <v>2367459</v>
      </c>
      <c r="BU24" s="85" t="n">
        <v>2317542</v>
      </c>
      <c r="BV24" s="87" t="n">
        <v>0</v>
      </c>
      <c r="BW24" s="87" t="n">
        <v>2</v>
      </c>
      <c r="BX24" s="87" t="n">
        <v>0</v>
      </c>
      <c r="BY24" s="87" t="n">
        <v>2</v>
      </c>
      <c r="BZ24" s="87" t="n">
        <v>0</v>
      </c>
      <c r="CA24" s="87" t="n">
        <v>0</v>
      </c>
      <c r="CB24" s="87" t="n">
        <v>0</v>
      </c>
      <c r="CC24" s="87" t="n">
        <v>0</v>
      </c>
      <c r="CD24" s="87" t="n">
        <v>0</v>
      </c>
      <c r="CE24" s="87" t="n">
        <v>9</v>
      </c>
      <c r="CF24" s="87" t="n">
        <v>1</v>
      </c>
      <c r="CG24" s="87" t="n">
        <v>0</v>
      </c>
      <c r="CH24" s="87" t="n">
        <v>0</v>
      </c>
      <c r="CI24" s="87" t="n">
        <v>0</v>
      </c>
      <c r="CJ24" s="87" t="n">
        <v>10</v>
      </c>
      <c r="CL24" s="3" t="n"/>
      <c r="CU24" s="49" t="n"/>
      <c r="CV24" s="49" t="n"/>
      <c r="CW24" s="49" t="n"/>
      <c r="CX24" s="49" t="n"/>
    </row>
    <row r="25" customFormat="1" s="1">
      <c r="A25" s="3" t="n"/>
      <c r="B25" s="3" t="inlineStr">
        <is>
          <t>المشتريات والشؤون الإدارية</t>
        </is>
      </c>
      <c r="D25" s="3" t="n"/>
      <c r="E25" s="3" t="n"/>
      <c r="F25" s="3" t="n"/>
      <c r="G25" s="3" t="n"/>
      <c r="H25" s="3" t="n"/>
      <c r="I25" s="3" t="n"/>
      <c r="J25" s="3" t="n"/>
      <c r="L25" s="3" t="n"/>
      <c r="M25" s="3" t="n"/>
      <c r="N25" s="3" t="n"/>
      <c r="O25" s="3" t="n"/>
      <c r="P25" s="3" t="n"/>
      <c r="Q25" s="3" t="n"/>
      <c r="S25" s="3" t="n"/>
      <c r="T25" s="3" t="n"/>
      <c r="U25" s="3" t="n"/>
      <c r="V25" s="3" t="n"/>
      <c r="W25" s="3" t="n"/>
      <c r="Y25" s="3" t="n"/>
      <c r="Z25" s="3" t="n"/>
      <c r="AA25" s="3" t="n"/>
      <c r="AB25" s="3" t="n"/>
      <c r="AC25" s="3" t="n"/>
      <c r="AD25" s="3" t="n"/>
      <c r="AE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U25" s="85" t="inlineStr">
        <is>
          <t>الاتصال الحكومي وشؤون الأمانة العامة</t>
        </is>
      </c>
      <c r="AV25" s="85" t="inlineStr">
        <is>
          <t>الخدمات المؤسسية</t>
        </is>
      </c>
      <c r="AW25" s="85" t="inlineStr">
        <is>
          <t>الشهر السابق</t>
        </is>
      </c>
      <c r="AX25" s="85" t="n">
        <v>0</v>
      </c>
      <c r="AY25" s="85" t="inlineStr"/>
      <c r="AZ25" s="85" t="n">
        <v>0</v>
      </c>
      <c r="BA25" s="85" t="n">
        <v>0</v>
      </c>
      <c r="BB25" s="85" t="n">
        <v>0</v>
      </c>
      <c r="BC25" s="85" t="n">
        <v>0</v>
      </c>
      <c r="BD25" s="85" t="n">
        <v>0</v>
      </c>
      <c r="BE25" s="85" t="n">
        <v>0</v>
      </c>
      <c r="BF25" s="85" t="n">
        <v>0</v>
      </c>
      <c r="BG25" s="85" t="n">
        <v>0</v>
      </c>
      <c r="BH25" s="85" t="n">
        <v>0</v>
      </c>
      <c r="BI25" s="85" t="n">
        <v>0</v>
      </c>
      <c r="BJ25" s="85" t="n">
        <v>0</v>
      </c>
      <c r="BK25" s="85" t="n">
        <v>1</v>
      </c>
      <c r="BL25" s="85" t="n">
        <v>0</v>
      </c>
      <c r="BM25" s="85" t="n">
        <v>0</v>
      </c>
      <c r="BN25" s="85" t="n">
        <v>1</v>
      </c>
      <c r="BO25" s="85" t="n">
        <v>1</v>
      </c>
      <c r="BP25" s="85" t="n">
        <v>0</v>
      </c>
      <c r="BQ25" s="85" t="n">
        <v>0</v>
      </c>
      <c r="BR25" s="85" t="n">
        <v>1479408</v>
      </c>
      <c r="BS25" s="85" t="n">
        <v>0</v>
      </c>
      <c r="BT25" s="85" t="n">
        <v>1479408</v>
      </c>
      <c r="BU25" s="85" t="n">
        <v>0</v>
      </c>
      <c r="BV25" s="87" t="n">
        <v>0</v>
      </c>
      <c r="BW25" s="87" t="n">
        <v>0</v>
      </c>
      <c r="BX25" s="87" t="n">
        <v>0</v>
      </c>
      <c r="BY25" s="87" t="n">
        <v>0</v>
      </c>
      <c r="BZ25" s="87" t="n">
        <v>0</v>
      </c>
      <c r="CA25" s="87" t="n">
        <v>0</v>
      </c>
      <c r="CB25" s="87" t="n">
        <v>0</v>
      </c>
      <c r="CC25" s="87" t="n">
        <v>0</v>
      </c>
      <c r="CD25" s="87" t="n">
        <v>0</v>
      </c>
      <c r="CE25" s="87" t="n">
        <v>1</v>
      </c>
      <c r="CF25" s="87" t="n">
        <v>0</v>
      </c>
      <c r="CG25" s="87" t="n">
        <v>0</v>
      </c>
      <c r="CH25" s="87" t="n">
        <v>0</v>
      </c>
      <c r="CI25" s="87" t="n">
        <v>0</v>
      </c>
      <c r="CJ25" s="87" t="n">
        <v>1</v>
      </c>
      <c r="CL25" s="3" t="n"/>
      <c r="CU25" s="49" t="n"/>
      <c r="CV25" s="49" t="n"/>
      <c r="CW25" s="49" t="n"/>
      <c r="CX25" s="49" t="n"/>
    </row>
    <row r="26" customFormat="1" s="1">
      <c r="A26" s="3" t="n"/>
      <c r="B26" s="3" t="inlineStr">
        <is>
          <t>تقنية المعلومات</t>
        </is>
      </c>
      <c r="D26" s="3" t="n"/>
      <c r="E26" s="3" t="n"/>
      <c r="F26" s="3" t="n"/>
      <c r="G26" s="3" t="n"/>
      <c r="H26" s="3" t="n"/>
      <c r="I26" s="3" t="n"/>
      <c r="J26" s="3" t="n"/>
      <c r="L26" s="3" t="n"/>
      <c r="M26" s="3" t="n"/>
      <c r="N26" s="3" t="n"/>
      <c r="O26" s="3" t="n"/>
      <c r="P26" s="3" t="n"/>
      <c r="Q26" s="3" t="n"/>
      <c r="S26" s="3" t="n"/>
      <c r="T26" s="3" t="n"/>
      <c r="U26" s="3" t="n"/>
      <c r="V26" s="3" t="n"/>
      <c r="W26" s="3" t="n"/>
      <c r="Y26" s="3" t="n"/>
      <c r="Z26" s="3" t="n"/>
      <c r="AA26" s="3" t="n"/>
      <c r="AB26" s="3" t="n"/>
      <c r="AC26" s="3" t="n"/>
      <c r="AD26" s="3" t="n"/>
      <c r="AE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U26" s="85" t="inlineStr">
        <is>
          <t>الاتصال الحكومي وشؤون الأمانة العامة</t>
        </is>
      </c>
      <c r="AV26" s="85" t="inlineStr">
        <is>
          <t>تميز الموارد البشرية</t>
        </is>
      </c>
      <c r="AW26" s="85" t="inlineStr">
        <is>
          <t>الشهر السابق</t>
        </is>
      </c>
      <c r="AX26" s="85" t="n">
        <v>3</v>
      </c>
      <c r="AY26" s="85" t="n">
        <v>0.8159090909090909</v>
      </c>
      <c r="AZ26" s="85" t="n">
        <v>0</v>
      </c>
      <c r="BA26" s="85" t="n">
        <v>0</v>
      </c>
      <c r="BB26" s="85" t="n">
        <v>0</v>
      </c>
      <c r="BC26" s="85" t="n">
        <v>0</v>
      </c>
      <c r="BD26" s="85" t="n">
        <v>0</v>
      </c>
      <c r="BE26" s="85" t="n">
        <v>0</v>
      </c>
      <c r="BF26" s="85" t="n">
        <v>0</v>
      </c>
      <c r="BG26" s="85" t="n">
        <v>0</v>
      </c>
      <c r="BH26" s="85" t="n">
        <v>0</v>
      </c>
      <c r="BI26" s="85" t="n">
        <v>0</v>
      </c>
      <c r="BJ26" s="85" t="n">
        <v>0</v>
      </c>
      <c r="BK26" s="85" t="n">
        <v>8</v>
      </c>
      <c r="BL26" s="85" t="n">
        <v>1</v>
      </c>
      <c r="BM26" s="85" t="n">
        <v>0</v>
      </c>
      <c r="BN26" s="85" t="n">
        <v>4</v>
      </c>
      <c r="BO26" s="85" t="n">
        <v>2</v>
      </c>
      <c r="BP26" s="85" t="n">
        <v>2</v>
      </c>
      <c r="BQ26" s="85" t="n">
        <v>0</v>
      </c>
      <c r="BR26" s="85" t="n">
        <v>4932092</v>
      </c>
      <c r="BS26" s="85" t="n">
        <v>1223232</v>
      </c>
      <c r="BT26" s="85" t="n">
        <v>1637165</v>
      </c>
      <c r="BU26" s="85" t="n">
        <v>3294927</v>
      </c>
      <c r="BV26" s="87" t="n">
        <v>0</v>
      </c>
      <c r="BW26" s="87" t="n">
        <v>0</v>
      </c>
      <c r="BX26" s="87" t="n">
        <v>0</v>
      </c>
      <c r="BY26" s="87" t="n">
        <v>0</v>
      </c>
      <c r="BZ26" s="87" t="n">
        <v>0</v>
      </c>
      <c r="CA26" s="87" t="n">
        <v>0</v>
      </c>
      <c r="CB26" s="87" t="n">
        <v>0</v>
      </c>
      <c r="CC26" s="87" t="n">
        <v>0</v>
      </c>
      <c r="CD26" s="87" t="n">
        <v>0</v>
      </c>
      <c r="CE26" s="87" t="n">
        <v>5</v>
      </c>
      <c r="CF26" s="87" t="n">
        <v>0</v>
      </c>
      <c r="CG26" s="87" t="n">
        <v>0</v>
      </c>
      <c r="CH26" s="87" t="n">
        <v>0</v>
      </c>
      <c r="CI26" s="87" t="n">
        <v>0</v>
      </c>
      <c r="CJ26" s="87" t="n">
        <v>8</v>
      </c>
      <c r="CL26" s="3" t="n"/>
      <c r="CU26" s="49" t="n"/>
      <c r="CV26" s="49" t="n"/>
      <c r="CW26" s="49" t="n"/>
      <c r="CX26" s="49" t="n"/>
    </row>
    <row r="27" customFormat="1" s="1">
      <c r="A27" s="3" t="n"/>
      <c r="B27" s="3" t="inlineStr">
        <is>
          <t>المالية والحسابات</t>
        </is>
      </c>
      <c r="D27" s="3" t="n"/>
      <c r="E27" s="48" t="n"/>
      <c r="F27" s="3" t="n"/>
      <c r="G27" s="3" t="n"/>
      <c r="H27" s="3" t="n"/>
      <c r="I27" s="3" t="n"/>
      <c r="J27" s="3" t="n"/>
      <c r="L27" s="3" t="n"/>
      <c r="M27" s="3" t="n"/>
      <c r="N27" s="3" t="n"/>
      <c r="O27" s="3" t="n"/>
      <c r="P27" s="3" t="n"/>
      <c r="Q27" s="3" t="n"/>
      <c r="S27" s="3" t="n"/>
      <c r="T27" s="3" t="n"/>
      <c r="U27" s="3" t="n"/>
      <c r="V27" s="3" t="n"/>
      <c r="W27" s="3" t="n"/>
      <c r="Y27" s="3" t="n"/>
      <c r="Z27" s="3" t="n"/>
      <c r="AA27" s="3" t="n"/>
      <c r="AB27" s="3" t="n"/>
      <c r="AC27" s="3" t="n"/>
      <c r="AD27" s="3" t="n"/>
      <c r="AE27" s="3" t="n"/>
      <c r="AG27" s="3" t="n"/>
      <c r="AH27" s="3" t="n"/>
      <c r="AI27" s="3" t="n"/>
      <c r="AJ27" s="3" t="n"/>
      <c r="AK27" s="3" t="n"/>
      <c r="AL27" s="3" t="n"/>
      <c r="AM27" s="3" t="n"/>
      <c r="AN27" s="3" t="n"/>
      <c r="AO27" s="3" t="n"/>
      <c r="AU27" s="85" t="inlineStr">
        <is>
          <t>الاتصال الحكومي وشؤون الأمانة العامة</t>
        </is>
      </c>
      <c r="AV27" s="85" t="inlineStr">
        <is>
          <t>المالية والحسابات</t>
        </is>
      </c>
      <c r="AW27" s="85" t="inlineStr">
        <is>
          <t>الشهر السابق</t>
        </is>
      </c>
      <c r="AX27" s="85" t="n">
        <v>1</v>
      </c>
      <c r="AY27" s="85" t="n">
        <v>0.255</v>
      </c>
      <c r="AZ27" s="85" t="n">
        <v>0</v>
      </c>
      <c r="BA27" s="85" t="n">
        <v>0</v>
      </c>
      <c r="BB27" s="85" t="n">
        <v>0</v>
      </c>
      <c r="BC27" s="85" t="n">
        <v>0</v>
      </c>
      <c r="BD27" s="85" t="n">
        <v>0</v>
      </c>
      <c r="BE27" s="85" t="n">
        <v>0</v>
      </c>
      <c r="BF27" s="85" t="n">
        <v>0</v>
      </c>
      <c r="BG27" s="85" t="n">
        <v>0</v>
      </c>
      <c r="BH27" s="85" t="n">
        <v>0</v>
      </c>
      <c r="BI27" s="85" t="n">
        <v>0</v>
      </c>
      <c r="BJ27" s="85" t="n">
        <v>0</v>
      </c>
      <c r="BK27" s="85" t="n">
        <v>0</v>
      </c>
      <c r="BL27" s="85" t="n">
        <v>0</v>
      </c>
      <c r="BM27" s="85" t="n">
        <v>0</v>
      </c>
      <c r="BN27" s="85" t="n">
        <v>0</v>
      </c>
      <c r="BO27" s="85" t="n">
        <v>0</v>
      </c>
      <c r="BP27" s="85" t="n">
        <v>0</v>
      </c>
      <c r="BQ27" s="85" t="n">
        <v>0</v>
      </c>
      <c r="BR27" s="85" t="n">
        <v>0</v>
      </c>
      <c r="BS27" s="85" t="n">
        <v>0</v>
      </c>
      <c r="BT27" s="85" t="n">
        <v>0</v>
      </c>
      <c r="BU27" s="85" t="n">
        <v>0</v>
      </c>
      <c r="BV27" s="87" t="n">
        <v>0</v>
      </c>
      <c r="BW27" s="87" t="n">
        <v>0</v>
      </c>
      <c r="BX27" s="87" t="n">
        <v>0</v>
      </c>
      <c r="BY27" s="87" t="n">
        <v>0</v>
      </c>
      <c r="BZ27" s="87" t="n">
        <v>0</v>
      </c>
      <c r="CA27" s="87" t="n">
        <v>0</v>
      </c>
      <c r="CB27" s="87" t="n">
        <v>0</v>
      </c>
      <c r="CC27" s="87" t="n">
        <v>0</v>
      </c>
      <c r="CD27" s="87" t="n">
        <v>0</v>
      </c>
      <c r="CE27" s="87" t="n">
        <v>0</v>
      </c>
      <c r="CF27" s="87" t="n">
        <v>0</v>
      </c>
      <c r="CG27" s="87" t="n">
        <v>0</v>
      </c>
      <c r="CH27" s="87" t="n">
        <v>0</v>
      </c>
      <c r="CI27" s="87" t="n">
        <v>0</v>
      </c>
      <c r="CJ27" s="87" t="n">
        <v>0</v>
      </c>
      <c r="CL27" s="3" t="n"/>
      <c r="CU27" s="49" t="n"/>
      <c r="CV27" s="49" t="n"/>
      <c r="CW27" s="49" t="n"/>
      <c r="CX27" s="49" t="n"/>
    </row>
    <row r="28" customFormat="1" s="1">
      <c r="A28" s="3" t="n"/>
      <c r="B28" s="3" t="inlineStr">
        <is>
          <t>المراسلات والأرشفة</t>
        </is>
      </c>
      <c r="D28" s="3" t="n"/>
      <c r="E28" s="3" t="n"/>
      <c r="F28" s="3" t="n"/>
      <c r="G28" s="3" t="n"/>
      <c r="H28" s="3" t="n"/>
      <c r="I28" s="3" t="n"/>
      <c r="J28" s="3" t="n"/>
      <c r="L28" s="3" t="n"/>
      <c r="M28" s="3" t="n"/>
      <c r="N28" s="3" t="n"/>
      <c r="O28" s="3" t="n"/>
      <c r="P28" s="3" t="n"/>
      <c r="Q28" s="3" t="n"/>
      <c r="S28" s="3" t="n"/>
      <c r="T28" s="3" t="n"/>
      <c r="U28" s="3" t="n"/>
      <c r="V28" s="3" t="n"/>
      <c r="W28" s="3" t="n"/>
      <c r="Y28" s="3" t="n"/>
      <c r="Z28" s="3" t="n"/>
      <c r="AA28" s="3" t="n"/>
      <c r="AB28" s="3" t="n"/>
      <c r="AC28" s="3" t="n"/>
      <c r="AD28" s="3" t="n"/>
      <c r="AE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U28" s="85" t="inlineStr">
        <is>
          <t>الاتصال الحكومي وشؤون الأمانة العامة</t>
        </is>
      </c>
      <c r="AV28" s="85" t="inlineStr">
        <is>
          <t>المشتريات والشؤون الإدارية</t>
        </is>
      </c>
      <c r="AW28" s="85" t="inlineStr">
        <is>
          <t>الشهر السابق</t>
        </is>
      </c>
      <c r="AX28" s="85" t="n">
        <v>1</v>
      </c>
      <c r="AY28" s="85" t="n">
        <v>0.9399999999999999</v>
      </c>
      <c r="AZ28" s="85" t="n">
        <v>0</v>
      </c>
      <c r="BA28" s="85" t="n">
        <v>0</v>
      </c>
      <c r="BB28" s="85" t="n">
        <v>0</v>
      </c>
      <c r="BC28" s="85" t="n">
        <v>0</v>
      </c>
      <c r="BD28" s="85" t="n">
        <v>0</v>
      </c>
      <c r="BE28" s="85" t="n">
        <v>0</v>
      </c>
      <c r="BF28" s="85" t="n">
        <v>0</v>
      </c>
      <c r="BG28" s="85" t="n">
        <v>0</v>
      </c>
      <c r="BH28" s="85" t="n">
        <v>0</v>
      </c>
      <c r="BI28" s="85" t="n">
        <v>0</v>
      </c>
      <c r="BJ28" s="85" t="n">
        <v>0</v>
      </c>
      <c r="BK28" s="85" t="n">
        <v>2</v>
      </c>
      <c r="BL28" s="85" t="n">
        <v>1</v>
      </c>
      <c r="BM28" s="85" t="n">
        <v>0</v>
      </c>
      <c r="BN28" s="85" t="n">
        <v>0</v>
      </c>
      <c r="BO28" s="85" t="n">
        <v>0</v>
      </c>
      <c r="BP28" s="85" t="n">
        <v>0</v>
      </c>
      <c r="BQ28" s="85" t="n">
        <v>0</v>
      </c>
      <c r="BR28" s="85" t="n">
        <v>350000</v>
      </c>
      <c r="BS28" s="85" t="n">
        <v>75857</v>
      </c>
      <c r="BT28" s="85" t="n">
        <v>75857</v>
      </c>
      <c r="BU28" s="85" t="n">
        <v>274143</v>
      </c>
      <c r="BV28" s="87" t="n">
        <v>0</v>
      </c>
      <c r="BW28" s="87" t="n">
        <v>0</v>
      </c>
      <c r="BX28" s="87" t="n">
        <v>0</v>
      </c>
      <c r="BY28" s="87" t="n">
        <v>0</v>
      </c>
      <c r="BZ28" s="87" t="n">
        <v>0</v>
      </c>
      <c r="CA28" s="87" t="n">
        <v>0</v>
      </c>
      <c r="CB28" s="87" t="n">
        <v>0</v>
      </c>
      <c r="CC28" s="87" t="n">
        <v>0</v>
      </c>
      <c r="CD28" s="87" t="n">
        <v>0</v>
      </c>
      <c r="CE28" s="87" t="n">
        <v>0</v>
      </c>
      <c r="CF28" s="87" t="n">
        <v>0</v>
      </c>
      <c r="CG28" s="87" t="n">
        <v>0</v>
      </c>
      <c r="CH28" s="87" t="n">
        <v>0</v>
      </c>
      <c r="CI28" s="87" t="n">
        <v>0</v>
      </c>
      <c r="CJ28" s="87" t="n">
        <v>2</v>
      </c>
      <c r="CL28" s="3" t="n"/>
      <c r="CU28" s="49" t="n"/>
      <c r="CV28" s="49" t="n"/>
      <c r="CW28" s="49" t="n"/>
      <c r="CX28" s="49" t="n"/>
    </row>
    <row r="29" customFormat="1" s="1">
      <c r="A29" s="3" t="n"/>
      <c r="B29" s="3" t="inlineStr">
        <is>
          <t>تنفيذ ومتابعة المشاريع الميدانية</t>
        </is>
      </c>
      <c r="D29" s="3" t="n"/>
      <c r="E29" s="3" t="n"/>
      <c r="F29" s="3" t="n"/>
      <c r="G29" s="3" t="n"/>
      <c r="H29" s="3" t="n"/>
      <c r="I29" s="3" t="n"/>
      <c r="J29" s="3" t="n"/>
      <c r="L29" s="3" t="n"/>
      <c r="M29" s="3" t="n"/>
      <c r="N29" s="3" t="n"/>
      <c r="O29" s="3" t="n"/>
      <c r="P29" s="3" t="n"/>
      <c r="Q29" s="3" t="n"/>
      <c r="S29" s="3" t="n"/>
      <c r="T29" s="3" t="n"/>
      <c r="U29" s="3" t="n"/>
      <c r="V29" s="3" t="n"/>
      <c r="W29" s="3" t="n"/>
      <c r="Y29" s="3" t="n"/>
      <c r="Z29" s="3" t="n"/>
      <c r="AA29" s="3" t="n"/>
      <c r="AB29" s="3" t="n"/>
      <c r="AC29" s="3" t="n"/>
      <c r="AD29" s="3" t="n"/>
      <c r="AE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U29" s="85" t="inlineStr">
        <is>
          <t>الاتصال الحكومي وشؤون الأمانة العامة</t>
        </is>
      </c>
      <c r="AV29" s="85" t="inlineStr">
        <is>
          <t>تقنية المعلومات</t>
        </is>
      </c>
      <c r="AW29" s="85" t="inlineStr">
        <is>
          <t>الشهر السابق</t>
        </is>
      </c>
      <c r="AX29" s="85" t="n">
        <v>0</v>
      </c>
      <c r="AY29" s="85" t="inlineStr"/>
      <c r="AZ29" s="85" t="n">
        <v>2</v>
      </c>
      <c r="BA29" s="85" t="n">
        <v>0</v>
      </c>
      <c r="BB29" s="85" t="n">
        <v>0</v>
      </c>
      <c r="BC29" s="85" t="n">
        <v>1</v>
      </c>
      <c r="BD29" s="85" t="n">
        <v>0</v>
      </c>
      <c r="BE29" s="85" t="n">
        <v>0</v>
      </c>
      <c r="BF29" s="85" t="n">
        <v>0</v>
      </c>
      <c r="BG29" s="85" t="n">
        <v>0</v>
      </c>
      <c r="BH29" s="85" t="n">
        <v>0</v>
      </c>
      <c r="BI29" s="85" t="n">
        <v>0</v>
      </c>
      <c r="BJ29" s="85" t="n">
        <v>0</v>
      </c>
      <c r="BK29" s="85" t="n">
        <v>8</v>
      </c>
      <c r="BL29" s="85" t="n">
        <v>1</v>
      </c>
      <c r="BM29" s="85" t="n">
        <v>0</v>
      </c>
      <c r="BN29" s="85" t="n">
        <v>0</v>
      </c>
      <c r="BO29" s="85" t="n">
        <v>0</v>
      </c>
      <c r="BP29" s="85" t="n">
        <v>0</v>
      </c>
      <c r="BQ29" s="85" t="n">
        <v>0</v>
      </c>
      <c r="BR29" s="85" t="n">
        <v>4000000</v>
      </c>
      <c r="BS29" s="85" t="n">
        <v>194300</v>
      </c>
      <c r="BT29" s="85" t="n">
        <v>329300</v>
      </c>
      <c r="BU29" s="85" t="n">
        <v>3670700</v>
      </c>
      <c r="BV29" s="87" t="n">
        <v>0</v>
      </c>
      <c r="BW29" s="87" t="n">
        <v>2</v>
      </c>
      <c r="BX29" s="87" t="n">
        <v>0</v>
      </c>
      <c r="BY29" s="87" t="n">
        <v>1</v>
      </c>
      <c r="BZ29" s="87" t="n">
        <v>0</v>
      </c>
      <c r="CA29" s="87" t="n">
        <v>0</v>
      </c>
      <c r="CB29" s="87" t="n">
        <v>0</v>
      </c>
      <c r="CC29" s="87" t="n">
        <v>0</v>
      </c>
      <c r="CD29" s="87" t="n">
        <v>0</v>
      </c>
      <c r="CE29" s="87" t="n">
        <v>5</v>
      </c>
      <c r="CF29" s="87" t="n">
        <v>0</v>
      </c>
      <c r="CG29" s="87" t="n">
        <v>0</v>
      </c>
      <c r="CH29" s="87" t="n">
        <v>0</v>
      </c>
      <c r="CI29" s="87" t="n">
        <v>0</v>
      </c>
      <c r="CJ29" s="87" t="n">
        <v>8</v>
      </c>
      <c r="CL29" s="3" t="n"/>
      <c r="CU29" s="49" t="n"/>
      <c r="CV29" s="49" t="n"/>
      <c r="CW29" s="49" t="n"/>
      <c r="CX29" s="49" t="n"/>
    </row>
    <row r="30">
      <c r="AU30" s="85" t="inlineStr">
        <is>
          <t>الاتصال الحكومي وشؤون الأمانة العامة</t>
        </is>
      </c>
      <c r="AV30" s="85" t="inlineStr">
        <is>
          <t>المراسلات والأرشفة</t>
        </is>
      </c>
      <c r="AW30" s="85" t="inlineStr">
        <is>
          <t>الشهر السابق</t>
        </is>
      </c>
      <c r="AX30" s="85" t="n">
        <v>1</v>
      </c>
      <c r="AY30" s="85" t="n">
        <v>0.25</v>
      </c>
      <c r="AZ30" s="85" t="n">
        <v>0</v>
      </c>
      <c r="BA30" s="85" t="n">
        <v>0</v>
      </c>
      <c r="BB30" s="85" t="n">
        <v>0</v>
      </c>
      <c r="BC30" s="85" t="n">
        <v>0</v>
      </c>
      <c r="BD30" s="85" t="n">
        <v>0</v>
      </c>
      <c r="BE30" s="85" t="n">
        <v>0</v>
      </c>
      <c r="BF30" s="85" t="n">
        <v>0</v>
      </c>
      <c r="BG30" s="85" t="n">
        <v>0</v>
      </c>
      <c r="BH30" s="85" t="n">
        <v>0</v>
      </c>
      <c r="BI30" s="85" t="n">
        <v>0</v>
      </c>
      <c r="BJ30" s="85" t="n">
        <v>0</v>
      </c>
      <c r="BK30" s="85" t="n">
        <v>0</v>
      </c>
      <c r="BL30" s="85" t="n">
        <v>0</v>
      </c>
      <c r="BM30" s="85" t="n">
        <v>0</v>
      </c>
      <c r="BN30" s="85" t="n">
        <v>0</v>
      </c>
      <c r="BO30" s="85" t="n">
        <v>0</v>
      </c>
      <c r="BP30" s="85" t="n">
        <v>0</v>
      </c>
      <c r="BQ30" s="85" t="n">
        <v>0</v>
      </c>
      <c r="BR30" s="85" t="n">
        <v>0</v>
      </c>
      <c r="BS30" s="85" t="n">
        <v>0</v>
      </c>
      <c r="BT30" s="85" t="n">
        <v>0</v>
      </c>
      <c r="BU30" s="85" t="n">
        <v>0</v>
      </c>
      <c r="BV30" s="88" t="n">
        <v>0</v>
      </c>
      <c r="BW30" s="89" t="n">
        <v>0</v>
      </c>
      <c r="BX30" s="87" t="n">
        <v>0</v>
      </c>
      <c r="BY30" s="88" t="n">
        <v>0</v>
      </c>
      <c r="BZ30" s="88" t="n">
        <v>0</v>
      </c>
      <c r="CA30" s="88" t="n">
        <v>0</v>
      </c>
      <c r="CB30" s="88" t="n">
        <v>0</v>
      </c>
      <c r="CC30" s="88" t="n">
        <v>0</v>
      </c>
      <c r="CD30" s="88" t="n">
        <v>0</v>
      </c>
      <c r="CE30" s="88" t="n">
        <v>0</v>
      </c>
      <c r="CF30" s="88" t="n">
        <v>0</v>
      </c>
      <c r="CG30" s="88" t="n">
        <v>0</v>
      </c>
      <c r="CH30" s="88" t="n">
        <v>0</v>
      </c>
      <c r="CI30" s="88" t="n">
        <v>0</v>
      </c>
      <c r="CJ30" s="88" t="n">
        <v>0</v>
      </c>
      <c r="CL30" s="3" t="n"/>
    </row>
    <row r="31">
      <c r="AU31" s="85" t="inlineStr">
        <is>
          <t>الاتصال الحكومي وشؤون الأمانة العامة</t>
        </is>
      </c>
      <c r="AV31" s="85" t="inlineStr">
        <is>
          <t>تنفيذ ومتابعة المشاريع الميدانية</t>
        </is>
      </c>
      <c r="AW31" s="85" t="inlineStr">
        <is>
          <t>الشهر السابق</t>
        </is>
      </c>
      <c r="AX31" s="85" t="n">
        <v>0</v>
      </c>
      <c r="AY31" s="85" t="inlineStr"/>
      <c r="AZ31" s="85" t="n">
        <v>2</v>
      </c>
      <c r="BA31" s="85" t="n">
        <v>0</v>
      </c>
      <c r="BB31" s="85" t="n">
        <v>0</v>
      </c>
      <c r="BC31" s="85" t="n">
        <v>0</v>
      </c>
      <c r="BD31" s="85" t="n">
        <v>0</v>
      </c>
      <c r="BE31" s="85" t="n">
        <v>0</v>
      </c>
      <c r="BF31" s="85" t="n">
        <v>0</v>
      </c>
      <c r="BG31" s="85" t="n">
        <v>0</v>
      </c>
      <c r="BH31" s="85" t="n">
        <v>0</v>
      </c>
      <c r="BI31" s="85" t="n">
        <v>0</v>
      </c>
      <c r="BJ31" s="85" t="n">
        <v>0</v>
      </c>
      <c r="BK31" s="85" t="n">
        <v>0</v>
      </c>
      <c r="BL31" s="85" t="n">
        <v>0</v>
      </c>
      <c r="BM31" s="85" t="n">
        <v>0</v>
      </c>
      <c r="BN31" s="85" t="n">
        <v>0</v>
      </c>
      <c r="BO31" s="85" t="n">
        <v>0</v>
      </c>
      <c r="BP31" s="85" t="n">
        <v>0</v>
      </c>
      <c r="BQ31" s="85" t="n">
        <v>0</v>
      </c>
      <c r="BR31" s="85" t="n">
        <v>0</v>
      </c>
      <c r="BS31" s="85" t="n">
        <v>0</v>
      </c>
      <c r="BT31" s="85" t="n">
        <v>0</v>
      </c>
      <c r="BU31" s="85" t="n">
        <v>0</v>
      </c>
      <c r="BV31" s="88" t="n">
        <v>0</v>
      </c>
      <c r="BW31" s="89" t="n">
        <v>2</v>
      </c>
      <c r="BX31" s="88" t="n">
        <v>0</v>
      </c>
      <c r="BY31" s="88" t="n">
        <v>2</v>
      </c>
      <c r="BZ31" s="88" t="n">
        <v>0</v>
      </c>
      <c r="CA31" s="88" t="n">
        <v>0</v>
      </c>
      <c r="CB31" s="88" t="n">
        <v>0</v>
      </c>
      <c r="CC31" s="88" t="n">
        <v>0</v>
      </c>
      <c r="CD31" s="88" t="n">
        <v>0</v>
      </c>
      <c r="CE31" s="88" t="n">
        <v>0</v>
      </c>
      <c r="CF31" s="88" t="n">
        <v>0</v>
      </c>
      <c r="CG31" s="88" t="n">
        <v>0</v>
      </c>
      <c r="CH31" s="88" t="n">
        <v>0</v>
      </c>
      <c r="CI31" s="88" t="n">
        <v>0</v>
      </c>
      <c r="CJ31" s="88" t="n">
        <v>0</v>
      </c>
    </row>
    <row r="32">
      <c r="AU32" s="54" t="n"/>
      <c r="AV32" s="54" t="n"/>
      <c r="AW32" s="54" t="n"/>
      <c r="AX32" s="54" t="n"/>
      <c r="AY32" s="54" t="n"/>
      <c r="AZ32" s="54" t="n"/>
      <c r="BA32" s="54" t="n"/>
      <c r="BB32" s="54" t="n"/>
      <c r="BC32" s="54" t="n"/>
      <c r="BD32" s="54" t="n"/>
      <c r="BE32" s="54" t="n"/>
      <c r="BF32" s="54" t="n"/>
      <c r="BG32" s="54" t="n"/>
      <c r="BH32" s="54" t="n"/>
      <c r="BI32" s="54" t="n"/>
      <c r="BJ32" s="54" t="n"/>
      <c r="BK32" s="54" t="n"/>
      <c r="BL32" s="54" t="n"/>
      <c r="BM32" s="54" t="n"/>
      <c r="BN32" s="54" t="n"/>
      <c r="BO32" s="54" t="n"/>
      <c r="BP32" s="54" t="n"/>
      <c r="BQ32" s="54" t="n"/>
      <c r="BR32" s="54" t="n"/>
      <c r="BS32" s="54" t="n"/>
      <c r="BT32" s="54" t="n"/>
      <c r="BU32" s="54" t="n"/>
    </row>
    <row r="33">
      <c r="AU33" s="54" t="n"/>
      <c r="AV33" s="54" t="n"/>
      <c r="AW33" s="54" t="n"/>
      <c r="AX33" s="54" t="n"/>
      <c r="AY33" s="1" t="n"/>
      <c r="AZ33" s="54" t="n"/>
      <c r="BA33" s="54" t="n"/>
      <c r="BB33" s="54" t="n"/>
      <c r="BC33" s="54" t="n"/>
      <c r="BD33" s="54" t="n"/>
      <c r="BE33" s="54" t="n"/>
      <c r="BF33" s="54" t="n"/>
      <c r="BG33" s="54" t="n"/>
      <c r="BH33" s="54" t="n"/>
      <c r="BI33" s="54" t="n"/>
      <c r="BJ33" s="54" t="n"/>
      <c r="BK33" s="54" t="n"/>
      <c r="BL33" s="54" t="n"/>
      <c r="BM33" s="54" t="n"/>
      <c r="BN33" s="54" t="n"/>
      <c r="BO33" s="54" t="n"/>
      <c r="BP33" s="54" t="n"/>
      <c r="BQ33" s="54" t="n"/>
      <c r="BR33" s="54" t="n"/>
      <c r="BS33" s="54" t="n"/>
      <c r="BT33" s="54" t="n"/>
      <c r="BU33" s="54" t="n"/>
    </row>
    <row r="34">
      <c r="AU34" s="54" t="n"/>
      <c r="AV34" s="54" t="n"/>
      <c r="AW34" s="54" t="n"/>
      <c r="AX34" s="54" t="n"/>
      <c r="AY34" s="54" t="n"/>
      <c r="AZ34" s="54" t="n"/>
      <c r="BA34" s="54" t="n"/>
      <c r="BB34" s="54" t="n"/>
      <c r="BC34" s="54" t="n"/>
      <c r="BD34" s="54" t="n"/>
      <c r="BE34" s="54" t="n"/>
      <c r="BF34" s="54" t="n"/>
      <c r="BG34" s="54" t="n"/>
      <c r="BH34" s="54" t="n"/>
      <c r="BI34" s="54" t="n"/>
      <c r="BJ34" s="54" t="n"/>
      <c r="BK34" s="54" t="n"/>
      <c r="BL34" s="54" t="n"/>
      <c r="BM34" s="54" t="n"/>
      <c r="BN34" s="54" t="n"/>
      <c r="BO34" s="54" t="n"/>
      <c r="BP34" s="54" t="n"/>
      <c r="BQ34" s="54" t="n"/>
      <c r="BR34" s="54" t="n"/>
      <c r="BS34" s="54" t="n"/>
      <c r="BT34" s="54" t="n"/>
      <c r="BU34" s="54" t="n"/>
    </row>
    <row r="35">
      <c r="AU35" s="54" t="inlineStr">
        <is>
          <t>Copy towards upper report</t>
        </is>
      </c>
      <c r="AV35" s="54" t="n"/>
      <c r="AW35" s="54" t="n"/>
      <c r="AX35" s="54" t="n"/>
      <c r="AY35" s="54" t="n"/>
      <c r="AZ35" s="54" t="n"/>
      <c r="BA35" s="54" t="n"/>
      <c r="BB35" s="54" t="n"/>
      <c r="BC35" s="54" t="n"/>
      <c r="BD35" s="54" t="n"/>
      <c r="BE35" s="54" t="n"/>
      <c r="BF35" s="54" t="n"/>
      <c r="BG35" s="54" t="n"/>
      <c r="BH35" s="54" t="n"/>
      <c r="BI35" s="54" t="n"/>
      <c r="BJ35" s="54" t="n"/>
      <c r="BK35" s="54" t="n"/>
      <c r="BL35" s="54" t="n"/>
      <c r="BM35" s="54" t="n"/>
      <c r="BN35" s="54" t="n"/>
      <c r="BO35" s="54" t="n"/>
      <c r="BP35" s="54" t="n"/>
      <c r="BQ35" s="54" t="n"/>
      <c r="BR35" s="54" t="n"/>
      <c r="BS35" s="54" t="n"/>
      <c r="BT35" s="54" t="n"/>
      <c r="BU35" s="54" t="n"/>
    </row>
    <row r="36">
      <c r="AU36" s="90" t="inlineStr">
        <is>
          <t>القطاع</t>
        </is>
      </c>
      <c r="AV36" s="90" t="inlineStr">
        <is>
          <t>الوحدة التنظيمية</t>
        </is>
      </c>
      <c r="AW36" s="90" t="inlineStr">
        <is>
          <t>الحالة</t>
        </is>
      </c>
      <c r="AX36" s="90" t="inlineStr">
        <is>
          <t>المؤشرات_المقاسة</t>
        </is>
      </c>
      <c r="AY36" s="90" t="inlineStr">
        <is>
          <t>متوسط_النتائج</t>
        </is>
      </c>
      <c r="AZ36" s="90" t="inlineStr">
        <is>
          <t>الخاصة_المجموع</t>
        </is>
      </c>
      <c r="BA36" s="90" t="inlineStr">
        <is>
          <t>سموه_منجز</t>
        </is>
      </c>
      <c r="BB36" s="90" t="inlineStr">
        <is>
          <t>سموه_متأخر</t>
        </is>
      </c>
      <c r="BC36" s="90" t="inlineStr">
        <is>
          <t>الخاصة_منجز</t>
        </is>
      </c>
      <c r="BD36" s="90" t="inlineStr">
        <is>
          <t>الخاصة_متأخر</t>
        </is>
      </c>
      <c r="BE36" s="90" t="inlineStr">
        <is>
          <t>الأجندة_المجموع</t>
        </is>
      </c>
      <c r="BF36" s="90" t="inlineStr">
        <is>
          <t>الأجندة_منجز</t>
        </is>
      </c>
      <c r="BG36" s="90" t="inlineStr">
        <is>
          <t>الأجندة_متأخر</t>
        </is>
      </c>
      <c r="BH36" s="90" t="inlineStr">
        <is>
          <t>القرارات_المجموع</t>
        </is>
      </c>
      <c r="BI36" s="90" t="inlineStr">
        <is>
          <t>القرارات_منجز</t>
        </is>
      </c>
      <c r="BJ36" s="90" t="inlineStr">
        <is>
          <t>القرارات_متأخر</t>
        </is>
      </c>
      <c r="BK36" s="90" t="inlineStr">
        <is>
          <t>مشاريع_الأمانة_المجموع</t>
        </is>
      </c>
      <c r="BL36" s="90" t="inlineStr">
        <is>
          <t>مشاريع_الأمانة_منجز</t>
        </is>
      </c>
      <c r="BM36" s="90" t="inlineStr">
        <is>
          <t>مشاريع_الأمانة_متأخر</t>
        </is>
      </c>
      <c r="BN36" s="90" t="inlineStr">
        <is>
          <t>التشريعات_المجموع</t>
        </is>
      </c>
      <c r="BO36" s="90" t="inlineStr">
        <is>
          <t>التشريعات_منجز</t>
        </is>
      </c>
      <c r="BP36" s="90" t="inlineStr">
        <is>
          <t>التشريعات_تجاوز الموعد</t>
        </is>
      </c>
      <c r="BQ36" s="90" t="inlineStr">
        <is>
          <t>التشريعات_متأخر</t>
        </is>
      </c>
      <c r="BR36" s="90" t="inlineStr">
        <is>
          <t>الموازنة المعتمدة</t>
        </is>
      </c>
      <c r="BS36" s="90" t="inlineStr">
        <is>
          <t>المنفق الفعلي</t>
        </is>
      </c>
      <c r="BT36" s="90" t="inlineStr">
        <is>
          <t>المخصص</t>
        </is>
      </c>
      <c r="BU36" s="90" t="inlineStr">
        <is>
          <t>غير المخصص</t>
        </is>
      </c>
      <c r="BV36" s="90" t="inlineStr">
        <is>
          <t>سموه_المجموع</t>
        </is>
      </c>
      <c r="BW36" s="90" t="inlineStr">
        <is>
          <t>الخاصة_المجموع_للأمانة</t>
        </is>
      </c>
      <c r="BX36" s="90" t="inlineStr">
        <is>
          <t>سموه_قيد_العمل</t>
        </is>
      </c>
      <c r="BY36" s="90" t="inlineStr">
        <is>
          <t>الخاصة_قيد_العمل</t>
        </is>
      </c>
      <c r="BZ36" s="90" t="inlineStr">
        <is>
          <t>الأجندة_الأصلية</t>
        </is>
      </c>
      <c r="CA36" s="90" t="inlineStr">
        <is>
          <t>الأجندة_مستجد</t>
        </is>
      </c>
      <c r="CB36" s="90" t="inlineStr">
        <is>
          <t>الأجندة_قيد_العمل</t>
        </is>
      </c>
      <c r="CC36" s="90" t="inlineStr">
        <is>
          <t>الأجندة_جاهز_للعرض</t>
        </is>
      </c>
      <c r="CD36" s="90" t="inlineStr">
        <is>
          <t>القرارات_قيد_العمل</t>
        </is>
      </c>
      <c r="CE36" s="90" t="inlineStr">
        <is>
          <t>مشاريع_الأمانة_قيد_العمل</t>
        </is>
      </c>
      <c r="CF36" s="90" t="inlineStr">
        <is>
          <t>مشاريع_الأمانة_ملغي_معلق</t>
        </is>
      </c>
      <c r="CG36" s="90" t="inlineStr">
        <is>
          <t>مشاريع_الأمانة_Q1</t>
        </is>
      </c>
      <c r="CH36" s="90" t="inlineStr">
        <is>
          <t>مشاريع_الأمانة_Q2</t>
        </is>
      </c>
      <c r="CI36" s="90" t="inlineStr">
        <is>
          <t>مشاريع_الأمانة_Q3</t>
        </is>
      </c>
      <c r="CJ36" s="90" t="inlineStr">
        <is>
          <t>مشاريع_الأمانة_Q4</t>
        </is>
      </c>
    </row>
    <row r="37">
      <c r="AU37" s="83" t="n"/>
      <c r="AV37" s="83" t="n"/>
      <c r="AW37" s="83" t="inlineStr">
        <is>
          <t>الشهر الحالي</t>
        </is>
      </c>
      <c r="AX37" s="83">
        <f t="array" ref="AX37">SUMPRODUCT(
$AX$40:$AX$66*
IF($A$3="",1,--($AU$40:$AU$66=$A$3))*
IF($B$3="",1,--($AV$40:$AV$66=$B$3))
)</f>
        <v/>
      </c>
      <c r="AY37" s="83">
        <f t="array" ref="AY37">IFERROR(
_xlfn.LET(
_xlpm.weights,$AX$40:$AX$66,
_xlpm.results,$AY$40:$AY$66,
_xlpm.sectors,$AU$40:$AU$66,
_xlpm.units,$AV$40:$AV$66,
_xlpm.include,
ISNUMBER(_xlpm.results)*
(_xlpm.weights&gt;0)*
IF($A$3="",1,--(_xlpm.sectors=$A$3))*
IF($B$3="",1,--(_xlpm.units=$B$3)),
_xlpm.selectedWeights,_xlfn._xlws.FILTER(_xlpm.weights,_xlpm.include),
_xlpm.selectedResults,_xlfn._xlws.FILTER(_xlpm.results,_xlpm.include),
SUMPRODUCT(_xlpm.selectedWeights,_xlpm.selectedResults)/
SUM(_xlpm.selectedWeights)
),
""
)</f>
        <v/>
      </c>
      <c r="AZ37" s="83">
        <f t="array" ref="AZ37">SUMPRODUCT(
AZ$40:AZ$66*
IF($A$3="",1,--($AU$40:$AU$66=$A$3))*
IF($B$3="",1,--($AV$40:$AV$66=$B$3))
)</f>
        <v/>
      </c>
      <c r="BA37" s="83">
        <f t="array" ref="BA37">SUMPRODUCT(
BA$40:BA$66*
IF($A$3="",1,--($AU$40:$AU$66=$A$3))*
IF($B$3="",1,--($AV$40:$AV$66=$B$3))
)</f>
        <v/>
      </c>
      <c r="BB37" s="83">
        <f t="array" ref="BB37">SUMPRODUCT(
BB$40:BB$66*
IF($A$3="",1,--($AU$40:$AU$66=$A$3))*
IF($B$3="",1,--($AV$40:$AV$66=$B$3))
)</f>
        <v/>
      </c>
      <c r="BC37" s="83">
        <f t="array" ref="BC37">SUMPRODUCT(
BC$40:BC$66*
IF($A$3="",1,--($AU$40:$AU$66=$A$3))*
IF($B$3="",1,--($AV$40:$AV$66=$B$3))
)</f>
        <v/>
      </c>
      <c r="BD37" s="83">
        <f t="array" ref="BD37">SUMPRODUCT(
BD$40:BD$66*
IF($A$3="",1,--($AU$40:$AU$66=$A$3))*
IF($B$3="",1,--($AV$40:$AV$66=$B$3))
)</f>
        <v/>
      </c>
      <c r="BE37" s="83">
        <f t="array" ref="BE37">SUMPRODUCT(
BE$40:BE$66*
IF($A$3="",1,--($AU$40:$AU$66=$A$3))*
IF($B$3="",1,--($AV$40:$AV$66=$B$3))
)</f>
        <v/>
      </c>
      <c r="BF37" s="83">
        <f t="array" ref="BF37">SUMPRODUCT(
BF$40:BF$66*
IF($A$3="",1,--($AU$40:$AU$66=$A$3))*
IF($B$3="",1,--($AV$40:$AV$66=$B$3))
)</f>
        <v/>
      </c>
      <c r="BG37" s="83">
        <f t="array" ref="BG37">SUMPRODUCT(
BG$40:BG$66*
IF($A$3="",1,--($AU$40:$AU$66=$A$3))*
IF($B$3="",1,--($AV$40:$AV$66=$B$3))
)</f>
        <v/>
      </c>
      <c r="BH37" s="83">
        <f t="array" ref="BH37">SUMPRODUCT(
BH$40:BH$66*
IF($A$3="",1,--($AU$40:$AU$66=$A$3))*
IF($B$3="",1,--($AV$40:$AV$66=$B$3))
)</f>
        <v/>
      </c>
      <c r="BI37" s="83">
        <f t="array" ref="BI37">SUMPRODUCT(
BI$40:BI$66*
IF($A$3="",1,--($AU$40:$AU$66=$A$3))*
IF($B$3="",1,--($AV$40:$AV$66=$B$3))
)</f>
        <v/>
      </c>
      <c r="BJ37" s="83">
        <f t="array" ref="BJ37">SUMPRODUCT(
BJ$40:BJ$66*
IF($A$3="",1,--($AU$40:$AU$66=$A$3))*
IF($B$3="",1,--($AV$40:$AV$66=$B$3))
)</f>
        <v/>
      </c>
      <c r="BK37" s="83">
        <f t="array" ref="BK37">SUMPRODUCT(
BK$40:BK$66*
IF($A$3="",1,--($AU$40:$AU$66=$A$3))*
IF($B$3="",1,--($AV$40:$AV$66=$B$3))
)</f>
        <v/>
      </c>
      <c r="BL37" s="83">
        <f t="array" ref="BL37">SUMPRODUCT(
BL$40:BL$66*
IF($A$3="",1,--($AU$40:$AU$66=$A$3))*
IF($B$3="",1,--($AV$40:$AV$66=$B$3))
)</f>
        <v/>
      </c>
      <c r="BM37" s="83">
        <f t="array" ref="BM37">SUMPRODUCT(
BM$40:BM$66*
IF($A$3="",1,--($AU$40:$AU$66=$A$3))*
IF($B$3="",1,--($AV$40:$AV$66=$B$3))
)</f>
        <v/>
      </c>
      <c r="BN37" s="83">
        <f t="array" ref="BN37">SUMPRODUCT(
BN$40:BN$66*
IF($A$3="",1,--($AU$40:$AU$66=$A$3))*
IF($B$3="",1,--($AV$40:$AV$66=$B$3))
)</f>
        <v/>
      </c>
      <c r="BO37" s="83">
        <f t="array" ref="BO37">SUMPRODUCT(
BO$40:BO$66*
IF($A$3="",1,--($AU$40:$AU$66=$A$3))*
IF($B$3="",1,--($AV$40:$AV$66=$B$3))
)</f>
        <v/>
      </c>
      <c r="BP37" s="83">
        <f t="array" ref="BP37">SUMPRODUCT(
BP$40:BP$66*
IF($A$3="",1,--($AU$40:$AU$66=$A$3))*
IF($B$3="",1,--($AV$40:$AV$66=$B$3))
)</f>
        <v/>
      </c>
      <c r="BQ37" s="83">
        <f t="array" ref="BQ37">SUMPRODUCT(
BQ$40:BQ$66*
IF($A$3="",1,--($AU$40:$AU$66=$A$3))*
IF($B$3="",1,--($AV$40:$AV$66=$B$3))
)</f>
        <v/>
      </c>
      <c r="BR37" s="83">
        <f t="array" ref="BR37">SUMPRODUCT(
BR$40:BR$66*
IF($A$3="",1,--($AU$40:$AU$66=$A$3))*
IF($B$3="",1,--($AV$40:$AV$66=$B$3))
)</f>
        <v/>
      </c>
      <c r="BS37" s="83">
        <f t="array" ref="BS37">SUMPRODUCT(
BS$40:BS$66*
IF($A$3="",1,--($AU$40:$AU$66=$A$3))*
IF($B$3="",1,--($AV$40:$AV$66=$B$3))
)</f>
        <v/>
      </c>
      <c r="BT37" s="83">
        <f t="array" ref="BT37">SUMPRODUCT(
BT$40:BT$66*
IF($A$3="",1,--($AU$40:$AU$66=$A$3))*
IF($B$3="",1,--($AV$40:$AV$66=$B$3))
)</f>
        <v/>
      </c>
      <c r="BU37" s="83">
        <f t="array" ref="BU37">SUMPRODUCT(
BU$40:BU$66*
IF($A$3="",1,--($AU$40:$AU$66=$A$3))*
IF($B$3="",1,--($AV$40:$AV$66=$B$3))
)</f>
        <v/>
      </c>
      <c r="BV37" s="83">
        <f t="array" ref="BV37">SUMPRODUCT(
BV$40:BV$66*
IF($A$3="",1,--($AU$40:$AU$66=$A$3))*
IF($B$3="",1,--($AV$40:$AV$66=$B$3))
)</f>
        <v/>
      </c>
      <c r="BW37" s="83">
        <f t="array" ref="BW37">SUMPRODUCT(
BW$40:BW$66*
IF($A$3="",1,--($AU$40:$AU$66=$A$3))*
IF($B$3="",1,--($AV$40:$AV$66=$B$3))
)</f>
        <v/>
      </c>
      <c r="BX37" s="83">
        <f t="array" ref="BX37">SUMPRODUCT(
BX$40:BX$66*
IF($A$3="",1,--($AU$40:$AU$66=$A$3))*
IF($B$3="",1,--($AV$40:$AV$66=$B$3))
)</f>
        <v/>
      </c>
      <c r="BY37" s="83">
        <f t="array" ref="BY37">SUMPRODUCT(
BY$40:BY$66*
IF($A$3="",1,--($AU$40:$AU$66=$A$3))*
IF($B$3="",1,--($AV$40:$AV$66=$B$3))
)</f>
        <v/>
      </c>
      <c r="BZ37" s="83">
        <f t="array" ref="BZ37">SUMPRODUCT(
BZ$40:BZ$66*
IF($A$3="",1,--($AU$40:$AU$66=$A$3))*
IF($B$3="",1,--($AV$40:$AV$66=$B$3))
)</f>
        <v/>
      </c>
      <c r="CA37" s="83">
        <f t="array" ref="CA37">SUMPRODUCT(
CA$40:CA$66*
IF($A$3="",1,--($AU$40:$AU$66=$A$3))*
IF($B$3="",1,--($AV$40:$AV$66=$B$3))
)</f>
        <v/>
      </c>
      <c r="CB37" s="83">
        <f t="array" ref="CB37">SUMPRODUCT(
CB$40:CB$66*
IF($A$3="",1,--($AU$40:$AU$66=$A$3))*
IF($B$3="",1,--($AV$40:$AV$66=$B$3))
)</f>
        <v/>
      </c>
      <c r="CC37" s="83">
        <f t="array" ref="CC37">SUMPRODUCT(
CC$40:CC$66*
IF($A$3="",1,--($AU$40:$AU$66=$A$3))*
IF($B$3="",1,--($AV$40:$AV$66=$B$3))
)</f>
        <v/>
      </c>
      <c r="CD37" s="83">
        <f t="array" ref="CD37">SUMPRODUCT(
CD$40:CD$66*
IF($A$3="",1,--($AU$40:$AU$66=$A$3))*
IF($B$3="",1,--($AV$40:$AV$66=$B$3))
)</f>
        <v/>
      </c>
      <c r="CE37" s="83">
        <f t="array" ref="CE37">SUMPRODUCT(
CE$40:CE$66*
IF($A$3="",1,--($AU$40:$AU$66=$A$3))*
IF($B$3="",1,--($AV$40:$AV$66=$B$3))
)</f>
        <v/>
      </c>
      <c r="CF37" s="83">
        <f t="array" ref="CF37">SUMPRODUCT(
CF$40:CF$66*
IF($A$3="",1,--($AU$40:$AU$66=$A$3))*
IF($B$3="",1,--($AV$40:$AV$66=$B$3))
)</f>
        <v/>
      </c>
      <c r="CG37" s="83">
        <f t="array" ref="CG37">SUMPRODUCT(
CG$40:CG$66*
IF($A$3="",1,--($AU$40:$AU$66=$A$3))*
IF($B$3="",1,--($AV$40:$AV$66=$B$3))
)</f>
        <v/>
      </c>
      <c r="CH37" s="83">
        <f t="array" ref="CH37">SUMPRODUCT(
CH$40:CH$66*
IF($A$3="",1,--($AU$40:$AU$66=$A$3))*
IF($B$3="",1,--($AV$40:$AV$66=$B$3))
)</f>
        <v/>
      </c>
      <c r="CI37" s="83">
        <f t="array" ref="CI37">SUMPRODUCT(
CI$40:CI$66*
IF($A$3="",1,--($AU$40:$AU$66=$A$3))*
IF($B$3="",1,--($AV$40:$AV$66=$B$3))
)</f>
        <v/>
      </c>
      <c r="CJ37" s="83">
        <f t="array" ref="CJ37">SUMPRODUCT(
CJ$40:CJ$66*
IF($A$3="",1,--($AU$40:$AU$66=$A$3))*
IF($B$3="",1,--($AV$40:$AV$66=$B$3))
)</f>
        <v/>
      </c>
    </row>
    <row r="38">
      <c r="AU38" s="83" t="n"/>
      <c r="AV38" s="83" t="n"/>
      <c r="AW38" s="83" t="inlineStr">
        <is>
          <t>الشهر الحالي</t>
        </is>
      </c>
      <c r="AX38" s="84">
        <f>$AX$3</f>
        <v/>
      </c>
      <c r="AY38" s="83">
        <f>$AR$3</f>
        <v/>
      </c>
      <c r="AZ38" s="83">
        <f>$Y$3</f>
        <v/>
      </c>
      <c r="BA38" s="83">
        <f>$AA$3</f>
        <v/>
      </c>
      <c r="BB38" s="83">
        <f>$AB$3</f>
        <v/>
      </c>
      <c r="BC38" s="83">
        <f>$AD$3</f>
        <v/>
      </c>
      <c r="BD38" s="83">
        <f>$AE$3</f>
        <v/>
      </c>
      <c r="BE38" s="83">
        <f>$D$3</f>
        <v/>
      </c>
      <c r="BF38" s="83">
        <f>$I$3</f>
        <v/>
      </c>
      <c r="BG38" s="83">
        <f>$J$3</f>
        <v/>
      </c>
      <c r="BH38" s="83">
        <f>$L$3</f>
        <v/>
      </c>
      <c r="BI38" s="83">
        <f>$N$3</f>
        <v/>
      </c>
      <c r="BJ38" s="83">
        <f>$O$3</f>
        <v/>
      </c>
      <c r="BK38" s="83">
        <f>$AG$3</f>
        <v/>
      </c>
      <c r="BL38" s="83">
        <f>$AJ$3</f>
        <v/>
      </c>
      <c r="BM38" s="83">
        <f>$AK$3</f>
        <v/>
      </c>
      <c r="BN38" s="83">
        <f>$S$3</f>
        <v/>
      </c>
      <c r="BO38" s="83">
        <f>$U$3</f>
        <v/>
      </c>
      <c r="BP38" s="83">
        <f>$V$3</f>
        <v/>
      </c>
      <c r="BQ38" s="83">
        <f>$W$3</f>
        <v/>
      </c>
      <c r="BR38" s="83">
        <f>$AG$6</f>
        <v/>
      </c>
      <c r="BS38" s="83">
        <f>$AH$6</f>
        <v/>
      </c>
      <c r="BT38" s="83">
        <f>$AI$6</f>
        <v/>
      </c>
      <c r="BU38" s="83">
        <f>$AJ$6</f>
        <v/>
      </c>
      <c r="BV38" s="92">
        <f>$Z$3</f>
        <v/>
      </c>
      <c r="BW38" s="92">
        <f>$AC$3</f>
        <v/>
      </c>
      <c r="BX38" s="92">
        <f>BX3</f>
        <v/>
      </c>
      <c r="BY38" s="92">
        <f>BY3</f>
        <v/>
      </c>
      <c r="BZ38" s="92">
        <f>$E$3</f>
        <v/>
      </c>
      <c r="CA38" s="92">
        <f>$F$3</f>
        <v/>
      </c>
      <c r="CB38" s="92">
        <f>$H$3</f>
        <v/>
      </c>
      <c r="CC38" s="92">
        <f>$G$3</f>
        <v/>
      </c>
      <c r="CD38" s="92">
        <f>$M$3</f>
        <v/>
      </c>
      <c r="CE38" s="92">
        <f>$AH$3</f>
        <v/>
      </c>
      <c r="CF38" s="92">
        <f>$AI$3</f>
        <v/>
      </c>
      <c r="CG38" s="92">
        <f>$AL$3</f>
        <v/>
      </c>
      <c r="CH38" s="92">
        <f>$AM$3</f>
        <v/>
      </c>
      <c r="CI38" s="92">
        <f>$AN$3</f>
        <v/>
      </c>
      <c r="CJ38" s="92">
        <f>$AO$3</f>
        <v/>
      </c>
    </row>
    <row r="39">
      <c r="AU39" s="83" t="n"/>
      <c r="AV39" s="83" t="n"/>
      <c r="AW39" s="83" t="inlineStr">
        <is>
          <t>التغيير</t>
        </is>
      </c>
      <c r="AX39" s="83">
        <f>IF(COUNT(AX37:AX38)&lt;2,"",IF(AX38=AX37,"",IF(AX38&gt;AX37,"▲ +","▼ -")&amp;TEXT(ABS(AX38-AX37),"#,##0")))</f>
        <v/>
      </c>
      <c r="AY39" s="83">
        <f>IF(OR(AY37="",AY38=""),"",IF(ABS(AY38-AY37)&lt;0.0005,"",IF(AY38&gt;AY37,"▲ +","▼ -")&amp;TEXT(ABS(AY38-AY37)*100,"0.0")&amp;" نقطة مئوية"))</f>
        <v/>
      </c>
      <c r="AZ39" s="83">
        <f>IF(COUNT(AZ37:AZ38)&lt;2,"",IF(AZ38=AZ37,"",IF(AZ38&gt;AZ37,"▲ +","▼ -")&amp;TEXT(ABS(AZ38-AZ37),"#,##0")))</f>
        <v/>
      </c>
      <c r="BA39" s="83">
        <f>IF(COUNT(BA37:BA38)&lt;2,"",IF(BA38=BA37,"",IF(BA38&gt;BA37,"▲ +","▼ -")&amp;TEXT(ABS(BA38-BA37),"#,##0")))</f>
        <v/>
      </c>
      <c r="BB39" s="83">
        <f>IF(COUNT(BB37:BB38)&lt;2,"",IF(BB38=BB37,"",IF(BB38&gt;BB37,"▲ +","▼ -")&amp;TEXT(ABS(BB38-BB37),"#,##0")))</f>
        <v/>
      </c>
      <c r="BC39" s="83">
        <f>IF(COUNT(BC37:BC38)&lt;2,"",IF(BC38=BC37,"",IF(BC38&gt;BC37,"▲ +","▼ -")&amp;TEXT(ABS(BC38-BC37),"#,##0")))</f>
        <v/>
      </c>
      <c r="BD39" s="83">
        <f>IF(COUNT(BD37:BD38)&lt;2,"",IF(BD38=BD37,"",IF(BD38&gt;BD37,"▲ +","▼ -")&amp;TEXT(ABS(BD38-BD37),"#,##0")))</f>
        <v/>
      </c>
      <c r="BE39" s="83">
        <f>IF(COUNT(BE37:BE38)&lt;2,"",IF(BE38=BE37,"",IF(BE38&gt;BE37,"▲ +","▼ -")&amp;TEXT(ABS(BE38-BE37),"#,##0")))</f>
        <v/>
      </c>
      <c r="BF39" s="83">
        <f>IF(COUNT(BF37:BF38)&lt;2,"",IF(BF38=BF37,"",IF(BF38&gt;BF37,"▲ +","▼ -")&amp;TEXT(ABS(BF38-BF37),"#,##0")))</f>
        <v/>
      </c>
      <c r="BG39" s="83">
        <f>IF(COUNT(BG37:BG38)&lt;2,"",IF(BG38=BG37,"",IF(BG38&gt;BG37,"▲ +","▼ -")&amp;TEXT(ABS(BG38-BG37),"#,##0")))</f>
        <v/>
      </c>
      <c r="BH39" s="83">
        <f>IF(COUNT(BH37:BH38)&lt;2,"",IF(BH38=BH37,"",IF(BH38&gt;BH37,"▲ +","▼ -")&amp;TEXT(ABS(BH38-BH37),"#,##0")))</f>
        <v/>
      </c>
      <c r="BI39" s="83">
        <f>IF(COUNT(BI37:BI38)&lt;2,"",IF(BI38=BI37,"",IF(BI38&gt;BI37,"▲ +","▼ -")&amp;TEXT(ABS(BI38-BI37),"#,##0")))</f>
        <v/>
      </c>
      <c r="BJ39" s="83">
        <f>IF(COUNT(BJ37:BJ38)&lt;2,"",IF(BJ38=BJ37,"",IF(BJ38&gt;BJ37,"▲ +","▼ -")&amp;TEXT(ABS(BJ38-BJ37),"#,##0")))</f>
        <v/>
      </c>
      <c r="BK39" s="83">
        <f>IF(COUNT(BK37:BK38)&lt;2,"",IF(BK38=BK37,"",IF(BK38&gt;BK37,"▲ +","▼ -")&amp;TEXT(ABS(BK38-BK37),"#,##0")))</f>
        <v/>
      </c>
      <c r="BL39" s="83">
        <f>IF(COUNT(BL37:BL38)&lt;2,"",IF(BL38=BL37,"",IF(BL38&gt;BL37,"▲ +","▼ -")&amp;TEXT(ABS(BL38-BL37),"#,##0")))</f>
        <v/>
      </c>
      <c r="BM39" s="83">
        <f>IF(COUNT(BM37:BM38)&lt;2,"",IF(BM38=BM37,"",IF(BM38&gt;BM37,"▲ +","▼ -")&amp;TEXT(ABS(BM38-BM37),"#,##0")))</f>
        <v/>
      </c>
      <c r="BN39" s="83">
        <f>IF(COUNT(BN37:BN38)&lt;2,"",IF(BN38=BN37,"",IF(BN38&gt;BN37,"▲ +","▼ -")&amp;TEXT(ABS(BN38-BN37),"#,##0")))</f>
        <v/>
      </c>
      <c r="BO39" s="83">
        <f>IF(COUNT(BO37:BO38)&lt;2,"",IF(BO38=BO37,"",IF(BO38&gt;BO37,"▲ +","▼ -")&amp;TEXT(ABS(BO38-BO37),"#,##0")))</f>
        <v/>
      </c>
      <c r="BP39" s="83">
        <f>IF(COUNT(BP37:BP38)&lt;2,"",IF(BP38=BP37,"",IF(BP38&gt;BP37,"▲ +","▼ -")&amp;TEXT(ABS(BP38-BP37),"#,##0")))</f>
        <v/>
      </c>
      <c r="BQ39" s="83">
        <f>IF(COUNT(BQ37:BQ38)&lt;2,"",IF(BQ38=BQ37,"",IF(BQ38&gt;BQ37,"▲ +","▼ -")&amp;TEXT(ABS(BQ38-BQ37),"#,##0")))</f>
        <v/>
      </c>
      <c r="BR39" s="83">
        <f>IF(COUNT(BR37:BR38)&lt;2,"",IF(BR38=BR37,"",IF(BR38&gt;BR37,"+ ▲","- ▼")))</f>
        <v/>
      </c>
      <c r="BS39" s="83">
        <f>IF(COUNT(BS37:BS38)&lt;2,"",IF(BS38=BS37,"",IF(BS38&gt;BS37,"+ ▲","- ▼")))</f>
        <v/>
      </c>
      <c r="BT39" s="83">
        <f>IF(COUNT(BT37:BT38)&lt;2,"",IF(BT38=BT37,"",IF(BT38&gt;BT37,"+ ▲","- ▼")))</f>
        <v/>
      </c>
      <c r="BU39" s="83">
        <f>IF(COUNT(BU37:BU38)&lt;2,"",IF(BU38=BU37,"",IF(BU38&gt;BU37,"+ ▲","- ▼")))</f>
        <v/>
      </c>
      <c r="BV39" s="92">
        <f>IF(COUNT(BV37:BV38)&lt;2,"",IF(BV38=BV37,"",IF(BV38&gt;BV37,"▲ +","▼ -")&amp;TEXT(ABS(BV38-BV37),"#,##0")))</f>
        <v/>
      </c>
      <c r="BW39" s="92">
        <f>IF(COUNT(BW37:BW38)&lt;2,"",IF(BW38=BW37,"",IF(BW38&gt;BW37,"▲ +","▼ -")&amp;TEXT(ABS(BW38-BW37),"#,##0")))</f>
        <v/>
      </c>
      <c r="BX39" s="92">
        <f>IF(COUNT(BX37:BX38)&lt;2,"",IF(BX38=BX37,"",IF(BX38&gt;BX37,"▲ +","▼ -")&amp;TEXT(ABS(BX38-BX37),"#,##0")))</f>
        <v/>
      </c>
      <c r="BY39" s="92">
        <f>IF(COUNT(BY37:BY38)&lt;2,"",IF(BY38=BY37,"",IF(BY38&gt;BY37,"▲ +","▼ -")&amp;TEXT(ABS(BY38-BY37),"#,##0")))</f>
        <v/>
      </c>
      <c r="BZ39" s="92">
        <f>IF(COUNT(BZ37:BZ38)&lt;2,"",IF(BZ38=BZ37,"",IF(BZ38&gt;BZ37,"▲ +","▼ -")&amp;TEXT(ABS(BZ38-BZ37),"#,##0")))</f>
        <v/>
      </c>
      <c r="CA39" s="92">
        <f>IF(COUNT(CA37:CA38)&lt;2,"",IF(CA38=CA37,"",IF(CA38&gt;CA37,"▲ +","▼ -")&amp;TEXT(ABS(CA38-CA37),"#,##0")))</f>
        <v/>
      </c>
      <c r="CB39" s="92">
        <f>IF(COUNT(CB37:CB38)&lt;2,"",IF(CB38=CB37,"",IF(CB38&gt;CB37,"▲ +","▼ -")&amp;TEXT(ABS(CB38-CB37),"#,##0")))</f>
        <v/>
      </c>
      <c r="CC39" s="92">
        <f>IF(COUNT(CC37:CC38)&lt;2,"",IF(CC38=CC37,"",IF(CC38&gt;CC37,"▲ +","▼ -")&amp;TEXT(ABS(CC38-CC37),"#,##0")))</f>
        <v/>
      </c>
      <c r="CD39" s="92">
        <f>IF(COUNT(CD37:CD38)&lt;2,"",IF(CD38=CD37,"",IF(CD38&gt;CD37,"▲ +","▼ -")&amp;TEXT(ABS(CD38-CD37),"#,##0")))</f>
        <v/>
      </c>
      <c r="CE39" s="92">
        <f>IF(COUNT(CE37:CE38)&lt;2,"",IF(CE38=CE37,"",IF(CE38&gt;CE37,"▲ +","▼ -")&amp;TEXT(ABS(CE38-CE37),"#,##0")))</f>
        <v/>
      </c>
      <c r="CF39" s="92">
        <f>IF(COUNT(CF37:CF38)&lt;2,"",IF(CF38=CF37,"",IF(CF38&gt;CF37,"▲ +","▼ -")&amp;TEXT(ABS(CF38-CF37),"#,##0")))</f>
        <v/>
      </c>
      <c r="CG39" s="92">
        <f>IF(COUNT(CG37:CG38)&lt;2,"",IF(CG38=CG37,"",IF(CG38&gt;CG37,"▲ +","▼ -")&amp;TEXT(ABS(CG38-CG37),"#,##0")))</f>
        <v/>
      </c>
      <c r="CH39" s="92">
        <f>IF(COUNT(CH37:CH38)&lt;2,"",IF(CH38=CH37,"",IF(CH38&gt;CH37,"▲ +","▼ -")&amp;TEXT(ABS(CH38-CH37),"#,##0")))</f>
        <v/>
      </c>
      <c r="CI39" s="92">
        <f>IF(COUNT(CI37:CI38)&lt;2,"",IF(CI38=CI37,"",IF(CI38&gt;CI37,"▲ +","▼ -")&amp;TEXT(ABS(CI38-CI37),"#,##0")))</f>
        <v/>
      </c>
      <c r="CJ39" s="92">
        <f>IF(COUNT(CJ37:CJ38)&lt;2,"",IF(CJ38=CJ37,"",IF(CJ38&gt;CJ37,"▲ +","▼ -")&amp;TEXT(ABS(CJ38-CJ37),"#,##0")))</f>
        <v/>
      </c>
    </row>
    <row r="40">
      <c r="AU40" s="85" t="inlineStr">
        <is>
          <t>الأمانة العامة للمجلس التنفيذي</t>
        </is>
      </c>
      <c r="AV40" s="85" t="inlineStr">
        <is>
          <t>مكتب الأمين العام</t>
        </is>
      </c>
      <c r="AW40" s="85" t="inlineStr">
        <is>
          <t>الشهر الحالي</t>
        </is>
      </c>
      <c r="AX40" s="85">
        <f t="array" ref="AX40">_xlfn.LET(
_xlpm.results,Strategy[[نتيجة العام ]],
SUMPRODUCT(
--(Strategy[المؤشر]&lt;&gt;"")*
--ISNUMBER(_xlpm.results)*
--(_xlpm.results&lt;&gt;0)*
--(Strategy[القطاع]=($AU40&amp;""))*
--(Strategy[الإدارة]=($AV40&amp;""))
)
)</f>
        <v/>
      </c>
      <c r="AY40" s="85">
        <f>IFERROR(
AVERAGEIFS(
Strategy[[نتيجة العام ]],
Strategy[المؤشر],"&lt;&gt;",
Strategy[[نتيجة العام ]],"&lt;&gt;0",
Strategy[القطاع],$AU40&amp;"",
Strategy[الإدارة],$AV40&amp;""
),
""
)</f>
        <v/>
      </c>
      <c r="AZ40" s="85">
        <f>COUNTIFS(Special[اسم المشروع],"&lt;&gt;",Special[القطاع],$AU40&amp;"",Special[[الإدارة ]],$AV40&amp;"")</f>
        <v/>
      </c>
      <c r="BA40" s="85">
        <f>COUNTIFS(Special[مستوى الإنجاز],"منجز",Special[مشاريع سموه],"نعم",Special[القطاع],$AU40&amp;"",Special[[الإدارة ]],$AV40&amp;"")</f>
        <v/>
      </c>
      <c r="BB40" s="85">
        <f>COUNTIFS(Special[مستوى الإنجاز],"متأخر",Special[مشاريع سموه],"نعم",Special[القطاع],$AU40&amp;"",Special[[الإدارة ]],$AV40&amp;"")</f>
        <v/>
      </c>
      <c r="BC40" s="85">
        <f>COUNTIFS(Special[مستوى الإنجاز],"منجز",Special[مشاريع سموه],"لا",Special[القطاع],$AU40&amp;"",Special[[الإدارة ]],$AV40&amp;"")</f>
        <v/>
      </c>
      <c r="BD40" s="85">
        <f>COUNTIFS(Special[مستوى الإنجاز],"متأخر",Special[مشاريع سموه],"لا",Special[القطاع],$AU40&amp;"",Special[[الإدارة ]],$AV40&amp;"")</f>
        <v/>
      </c>
      <c r="BE40" s="85">
        <f>COUNTIFS(ECSAC[[الموضوع ]],"&lt;&gt;",ECSAC[القطاع],$AU40&amp;"",ECSAC[الإدارة],$AV40&amp;"")</f>
        <v/>
      </c>
      <c r="BF40" s="85">
        <f>COUNTIFS(ECSAC[مستوى الإنجاز],"منجز",ECSAC[القطاع],$AU40&amp;"",ECSAC[الإدارة],$AV40&amp;"")</f>
        <v/>
      </c>
      <c r="BG40" s="85">
        <f>COUNTIFS(ECSAC[مستوى الإنجاز],"متأخر",ECSAC[القطاع],$AU40&amp;"",ECSAC[الإدارة],$AV40&amp;"")</f>
        <v/>
      </c>
      <c r="BH40" s="85">
        <f t="array" ref="BH40">_xlfn.LET(
 _xlpm.topic,IFERROR(Resolutions[الموضوع],""),
 _xlpm.followup,TRIM(SUBSTITUTE(IFERROR(Resolutions[متطلبات المتابعة],""),CHAR(160),"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--(_xlpm.sector=TRIM(SUBSTITUTE($AU40,CHAR(160)," "))),
  --(_xlpm.dept=TRIM(SUBSTITUTE($AV40,CHAR(160)," ")))
 )
)</f>
        <v/>
      </c>
      <c r="BI40" s="85">
        <f t="array" ref="BI40">_xlfn.LET(
 _xlpm.topic,IFERROR(Resolutions[الموضوع],""),
 _xlpm.followup,TRIM(SUBSTITUTE(IFERROR(Resolutions[متطلبات المتابعة],""),CHAR(160)," ")),
 _xlpm.itemStatus,TRIM(SUBSTITUTE(IFERROR(Resolutions[مستوى الإنجاز],""),CHAR(160),"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--(_xlpm.itemStatus="منجز"),
  --(_xlpm.sector=TRIM(SUBSTITUTE($AU40,CHAR(160)," "))),
  --(_xlpm.dept=TRIM(SUBSTITUTE($AV40,CHAR(160)," ")))
 )
)</f>
        <v/>
      </c>
      <c r="BJ40" s="85">
        <f t="array" ref="BJ40">_xlfn.LET(
 _xlpm.topic,IFERROR(Resolutions[الموضوع],""),
 _xlpm.followup,TRIM(SUBSTITUTE(IFERROR(Resolutions[متطلبات المتابعة],""),CHAR(160)," ")),
 _xlpm.itemStatus,TRIM(SUBSTITUTE(IFERROR(Resolutions[مستوى الإنجاز],""),CHAR(160),"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--(_xlpm.itemStatus="متأخر"),
  --(_xlpm.sector=TRIM(SUBSTITUTE($AU40,CHAR(160)," "))),
  --(_xlpm.dept=TRIM(SUBSTITUTE($AV40,CHAR(160)," ")))
 )
)</f>
        <v/>
      </c>
      <c r="BK40" s="85">
        <f>COUNTIFS(Projects[اسم المشروع],"&lt;&gt;",Projects[القطاع],$AU40&amp;"",Projects[[الإدارة ]],$AV40&amp;"")</f>
        <v/>
      </c>
      <c r="BL40" s="85">
        <f>COUNTIFS(Projects[مستوى الإنجاز],"Completed",Projects[القطاع],$AU40&amp;"",Projects[[الإدارة ]],$AV40&amp;"")</f>
        <v/>
      </c>
      <c r="BM40" s="85">
        <f>COUNTIFS(Projects[Late KPI],"Late",Projects[القطاع],$AU40&amp;"",Projects[[الإدارة ]],$AV40&amp;"")</f>
        <v/>
      </c>
      <c r="BN40" s="85">
        <f>COUNTIFS(Legislations[[عنوان التشريع ]],"&lt;&gt;",Legislations[القطاع],$AU40&amp;"",Legislations[الإدارة],$AV40&amp;"")</f>
        <v/>
      </c>
      <c r="BO40" s="85">
        <f>COUNTIFS(Legislations[مؤشرات الأداء],"في الموعد",Legislations[تجاوز الموعد],"&lt;&gt;متأخر",Legislations[القطاع],$AU40&amp;"",Legislations[الإدارة],$AV40&amp;"")</f>
        <v/>
      </c>
      <c r="BP40" s="85">
        <f>COUNTIFS(Legislations[مؤشرات الأداء],"في الموعد",Legislations[تجاوز الموعد],"متأخر",Legislations[القطاع],$AU40&amp;"",Legislations[الإدارة],$AV40&amp;"")</f>
        <v/>
      </c>
      <c r="BQ40" s="85">
        <f>COUNTIFS(Legislations[Late KPI],"متأخر",Legislations[القطاع],$AU40&amp;"",Legislations[الإدارة],$AV40&amp;"")</f>
        <v/>
      </c>
      <c r="BR40" s="85">
        <f t="array" ref="BR40">SUMPRODUCT(IFERROR(--Projects[الموازنة المعتمدة الجديدة],0),--(Projects[القطاع]=$AU40),--(Projects[[الإدارة ]]=$AV40))</f>
        <v/>
      </c>
      <c r="BS40" s="85">
        <f t="array" ref="BS40">SUMPRODUCT(IFERROR(--Projects[المنفق الفعلي],0),--(Projects[القطاع]=$AU40),--(Projects[[الإدارة ]]=$AV40))</f>
        <v/>
      </c>
      <c r="BT40" s="85">
        <f t="array" ref="BT40">SUMPRODUCT(IFERROR(--Projects[المخصص],0),--(Projects[القطاع]=$AU40),--(Projects[[الإدارة ]]=$AV40))</f>
        <v/>
      </c>
      <c r="BU40" s="85">
        <f t="array" ref="BU40">SUMPRODUCT(IFERROR(--Projects[غير المخصص],0),--(Projects[القطاع]=$AU40),--(Projects[[الإدارة ]]=$AV40))</f>
        <v/>
      </c>
      <c r="BV40" s="88">
        <f>COUNTIFS(Special[اسم المشروع],"&lt;&gt;",Special[مشاريع سموه],"نعم",Special[القطاع],$AU40,Special[[الإدارة ]],$AV40&amp;"")</f>
        <v/>
      </c>
      <c r="BW40" s="89">
        <f>COUNTIFS(Special[اسم المشروع],"&lt;&gt;",Special[مشاريع سموه],"لا",Special[القطاع],$AU40,Special[[الإدارة ]],$AV40&amp;"")</f>
        <v/>
      </c>
      <c r="BX40" s="88">
        <f>BV40-BA40-BB40</f>
        <v/>
      </c>
      <c r="BY40" s="88">
        <f>BW40-BC40-BD40</f>
        <v/>
      </c>
      <c r="BZ40" s="88">
        <f>COUNTIFS(ECSAC[[الموضوع ]],"&lt;&gt;",ECSAC[تصنيف الموضوع],"الأجندة السنوية",ECSAC[القطاع],$AU40,ECSAC[الإدارة],$AV40&amp;"")</f>
        <v/>
      </c>
      <c r="CA40" s="88">
        <f>COUNTIFS(ECSAC[[الموضوع ]],"&lt;&gt;",ECSAC[تصنيف الموضوع],"مستجد",ECSAC[القطاع],$AU40,ECSAC[الإدارة],$AV40&amp;"")</f>
        <v/>
      </c>
      <c r="CB40" s="88">
        <f>COUNTIFS(ECSAC[مستوى الإنجاز],"قيد التطوير",ECSAC[القطاع],$AU40,ECSAC[الإدارة],$AV40&amp;"")+COUNTIFS(ECSAC[مستوى الإنجاز],"قيد المراجعة",ECSAC[القطاع],$AU40,ECSAC[الإدارة],$AV40&amp;"")</f>
        <v/>
      </c>
      <c r="CC40" s="88">
        <f>COUNTIFS(ECSAC[مستوى الإنجاز],"جاهز للعرض",ECSAC[القطاع],$AU40,ECSAC[الإدارة],$AV40&amp;"")</f>
        <v/>
      </c>
      <c r="CD40" s="88">
        <f t="array" ref="CD40">_xlfn.LET(
_xlpm.topic,IFERROR(Resolutions[الموضوع],""),
_xlpm.followup,TRIM(SUBSTITUTE(IFERROR(Resolutions[متطلبات المتابعة],""),CHAR(160)," ")),
_xlpm.itemStatus,TRIM(SUBSTITUTE(IFERROR(Resolutions[مستوى الإنجاز],""),CHAR(160)," ")),
_xlpm.sector,TRIM(SUBSTITUTE(IFERROR(Resolutions[القطاع],""),CHAR(160)," ")),
_xlpm.dept,TRIM(SUBSTITUTE(IFERROR(Resolutions[الإدارة],""),CHAR(160)," ")),
SUMPRODUCT(
--(_xlpm.topic&lt;&gt;""),
--(((_xlpm.followup="رسالة رسمية")+(_xlpm.followup="بريد من الوحدة التنظيمية"))&gt;0),
--(((_xlpm.itemStatus="قيد التطوير")+(_xlpm.itemStatus="قيد المراجعة"))&gt;0),
--(_xlpm.sector=TRIM(SUBSTITUTE($AU40,CHAR(160)," "))),
--(_xlpm.dept=TRIM(SUBSTITUTE($AV40,CHAR(160)," ")))
)
)</f>
        <v/>
      </c>
      <c r="CE40" s="88">
        <f>COUNTIFS(Projects[مستوى الإنجاز],"Active",Projects[القطاع],$AU40,Projects[[الإدارة ]],$AV40&amp;"")</f>
        <v/>
      </c>
      <c r="CF40" s="91">
        <f>COUNTIFS(Projects[مستوى الإنجاز],"Cancelled",Projects[القطاع],$AU40,Projects[[الإدارة ]],$AV40&amp;"")+COUNTIFS(Projects[مستوى الإنجاز],"Frozen",Projects[القطاع],$AU40,Projects[[الإدارة ]],$AV40&amp;"")</f>
        <v/>
      </c>
      <c r="CG40" s="88">
        <f>COUNTIFS(Projects[الربع],"Q1",Projects[القطاع],$AU40,Projects[[الإدارة ]],$AV40&amp;"")</f>
        <v/>
      </c>
      <c r="CH40" s="88">
        <f>COUNTIFS(Projects[الربع],"Q2",Projects[القطاع],$AU40,Projects[[الإدارة ]],$AV40&amp;"")</f>
        <v/>
      </c>
      <c r="CI40" s="88">
        <f>COUNTIFS(Projects[الربع],"Q3",Projects[القطاع],$AU40,Projects[[الإدارة ]],$AV40&amp;"")</f>
        <v/>
      </c>
      <c r="CJ40" s="88">
        <f>COUNTIFS(Projects[الربع],"Q4",Projects[القطاع],$AU40,Projects[[الإدارة ]],$AV40&amp;"")</f>
        <v/>
      </c>
    </row>
    <row r="41">
      <c r="AU41" s="85" t="inlineStr">
        <is>
          <t>الأمانة العامة للمجلس التنفيذي</t>
        </is>
      </c>
      <c r="AV41" s="85" t="inlineStr">
        <is>
          <t>مكتب خطة دبي</t>
        </is>
      </c>
      <c r="AW41" s="85" t="inlineStr">
        <is>
          <t>الشهر الحالي</t>
        </is>
      </c>
      <c r="AX41" s="85">
        <f t="array" ref="AX41">_xlfn.LET(
_xlpm.results,Strategy[[نتيجة العام ]],
SUMPRODUCT(
--(Strategy[المؤشر]&lt;&gt;"")*
--ISNUMBER(_xlpm.results)*
--(_xlpm.results&lt;&gt;0)*
--(Strategy[القطاع]=($AU41&amp;""))*
--(Strategy[الإدارة]=($AV41&amp;""))
)
)</f>
        <v/>
      </c>
      <c r="AY41" s="85">
        <f>IFERROR(
AVERAGEIFS(
Strategy[[نتيجة العام ]],
Strategy[المؤشر],"&lt;&gt;",
Strategy[[نتيجة العام ]],"&lt;&gt;0",
Strategy[القطاع],$AU41&amp;"",
Strategy[الإدارة],$AV41&amp;""
),
""
)</f>
        <v/>
      </c>
      <c r="AZ41" s="85">
        <f>COUNTIFS(Special[اسم المشروع],"&lt;&gt;",Special[القطاع],$AU41&amp;"",Special[[الإدارة ]],$AV41&amp;"")</f>
        <v/>
      </c>
      <c r="BA41" s="85">
        <f>COUNTIFS(Special[مستوى الإنجاز],"منجز",Special[مشاريع سموه],"نعم",Special[القطاع],$AU41&amp;"",Special[[الإدارة ]],$AV41&amp;"")</f>
        <v/>
      </c>
      <c r="BB41" s="85">
        <f>COUNTIFS(Special[مستوى الإنجاز],"متأخر",Special[مشاريع سموه],"نعم",Special[القطاع],$AU41&amp;"",Special[[الإدارة ]],$AV41&amp;"")</f>
        <v/>
      </c>
      <c r="BC41" s="85">
        <f>COUNTIFS(Special[مستوى الإنجاز],"منجز",Special[مشاريع سموه],"لا",Special[القطاع],$AU41&amp;"",Special[[الإدارة ]],$AV41&amp;"")</f>
        <v/>
      </c>
      <c r="BD41" s="85">
        <f>COUNTIFS(Special[مستوى الإنجاز],"متأخر",Special[مشاريع سموه],"لا",Special[القطاع],$AU41&amp;"",Special[[الإدارة ]],$AV41&amp;"")</f>
        <v/>
      </c>
      <c r="BE41" s="85">
        <f>COUNTIFS(ECSAC[[الموضوع ]],"&lt;&gt;",ECSAC[القطاع],$AU41&amp;"",ECSAC[الإدارة],$AV41&amp;"")</f>
        <v/>
      </c>
      <c r="BF41" s="85">
        <f>COUNTIFS(ECSAC[مستوى الإنجاز],"منجز",ECSAC[القطاع],$AU41&amp;"",ECSAC[الإدارة],$AV41&amp;"")</f>
        <v/>
      </c>
      <c r="BG41" s="85">
        <f>COUNTIFS(ECSAC[مستوى الإنجاز],"متأخر",ECSAC[القطاع],$AU41&amp;"",ECSAC[الإدارة],$AV41&amp;"")</f>
        <v/>
      </c>
      <c r="BH41" s="85">
        <f t="array" ref="BH41">_xlfn.LET(
 _xlpm.topic,IFERROR(Resolutions[الموضوع],""),
 _xlpm.followup,TRIM(SUBSTITUTE(IFERROR(Resolutions[متطلبات المتابعة],""),CHAR(160),"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--(_xlpm.sector=TRIM(SUBSTITUTE($AU41,CHAR(160)," "))),
  --(_xlpm.dept=TRIM(SUBSTITUTE($AV41,CHAR(160)," ")))
 )
)</f>
        <v/>
      </c>
      <c r="BI41" s="85">
        <f t="array" ref="BI41">_xlfn.LET(
 _xlpm.topic,IFERROR(Resolutions[الموضوع],""),
 _xlpm.followup,TRIM(SUBSTITUTE(IFERROR(Resolutions[متطلبات المتابعة],""),CHAR(160)," ")),
 _xlpm.itemStatus,TRIM(SUBSTITUTE(IFERROR(Resolutions[مستوى الإنجاز],""),CHAR(160),"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--(_xlpm.itemStatus="منجز"),
  --(_xlpm.sector=TRIM(SUBSTITUTE($AU41,CHAR(160)," "))),
  --(_xlpm.dept=TRIM(SUBSTITUTE($AV41,CHAR(160)," ")))
 )
)</f>
        <v/>
      </c>
      <c r="BJ41" s="85">
        <f t="array" ref="BJ41">_xlfn.LET(
 _xlpm.topic,IFERROR(Resolutions[الموضوع],""),
 _xlpm.followup,TRIM(SUBSTITUTE(IFERROR(Resolutions[متطلبات المتابعة],""),CHAR(160)," ")),
 _xlpm.itemStatus,TRIM(SUBSTITUTE(IFERROR(Resolutions[مستوى الإنجاز],""),CHAR(160),"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--(_xlpm.itemStatus="متأخر"),
  --(_xlpm.sector=TRIM(SUBSTITUTE($AU41,CHAR(160)," "))),
  --(_xlpm.dept=TRIM(SUBSTITUTE($AV41,CHAR(160)," ")))
 )
)</f>
        <v/>
      </c>
      <c r="BK41" s="85">
        <f>COUNTIFS(Projects[اسم المشروع],"&lt;&gt;",Projects[القطاع],$AU41&amp;"",Projects[[الإدارة ]],$AV41&amp;"")</f>
        <v/>
      </c>
      <c r="BL41" s="85">
        <f>COUNTIFS(Projects[مستوى الإنجاز],"Completed",Projects[القطاع],$AU41&amp;"",Projects[[الإدارة ]],$AV41&amp;"")</f>
        <v/>
      </c>
      <c r="BM41" s="85">
        <f>COUNTIFS(Projects[Late KPI],"Late",Projects[القطاع],$AU41&amp;"",Projects[[الإدارة ]],$AV41&amp;"")</f>
        <v/>
      </c>
      <c r="BN41" s="85">
        <f>COUNTIFS(Legislations[[عنوان التشريع ]],"&lt;&gt;",Legislations[القطاع],$AU41&amp;"",Legislations[الإدارة],$AV41&amp;"")</f>
        <v/>
      </c>
      <c r="BO41" s="85">
        <f>COUNTIFS(Legislations[مؤشرات الأداء],"في الموعد",Legislations[تجاوز الموعد],"&lt;&gt;متأخر",Legislations[القطاع],$AU41&amp;"",Legislations[الإدارة],$AV41&amp;"")</f>
        <v/>
      </c>
      <c r="BP41" s="85">
        <f>COUNTIFS(Legislations[مؤشرات الأداء],"في الموعد",Legislations[تجاوز الموعد],"متأخر",Legislations[القطاع],$AU41&amp;"",Legislations[الإدارة],$AV41&amp;"")</f>
        <v/>
      </c>
      <c r="BQ41" s="85">
        <f>COUNTIFS(Legislations[Late KPI],"متأخر",Legislations[القطاع],$AU41&amp;"",Legislations[الإدارة],$AV41&amp;"")</f>
        <v/>
      </c>
      <c r="BR41" s="85">
        <f t="array" ref="BR41">SUMPRODUCT(IFERROR(--Projects[الموازنة المعتمدة الجديدة],0),--(Projects[القطاع]=$AU41),--(Projects[[الإدارة ]]=$AV41))</f>
        <v/>
      </c>
      <c r="BS41" s="85">
        <f t="array" ref="BS41">SUMPRODUCT(IFERROR(--Projects[المنفق الفعلي],0),--(Projects[القطاع]=$AU41),--(Projects[[الإدارة ]]=$AV41))</f>
        <v/>
      </c>
      <c r="BT41" s="85">
        <f t="array" ref="BT41">SUMPRODUCT(IFERROR(--Projects[المخصص],0),--(Projects[القطاع]=$AU41),--(Projects[[الإدارة ]]=$AV41))</f>
        <v/>
      </c>
      <c r="BU41" s="85">
        <f t="array" ref="BU41">SUMPRODUCT(IFERROR(--Projects[غير المخصص],0),--(Projects[القطاع]=$AU41),--(Projects[[الإدارة ]]=$AV41))</f>
        <v/>
      </c>
      <c r="BV41" s="88">
        <f>COUNTIFS(Special[اسم المشروع],"&lt;&gt;",Special[مشاريع سموه],"نعم",Special[القطاع],$AU41,Special[[الإدارة ]],$AV41&amp;"")</f>
        <v/>
      </c>
      <c r="BW41" s="89">
        <f>COUNTIFS(Special[اسم المشروع],"&lt;&gt;",Special[مشاريع سموه],"لا",Special[القطاع],$AU41,Special[[الإدارة ]],$AV41&amp;"")</f>
        <v/>
      </c>
      <c r="BX41" s="88">
        <f>BV41-BA41-BB41</f>
        <v/>
      </c>
      <c r="BY41" s="88">
        <f>BW41-BC41-BD41</f>
        <v/>
      </c>
      <c r="BZ41" s="88">
        <f>COUNTIFS(ECSAC[[الموضوع ]],"&lt;&gt;",ECSAC[تصنيف الموضوع],"الأجندة السنوية",ECSAC[القطاع],$AU41,ECSAC[الإدارة],$AV41&amp;"")</f>
        <v/>
      </c>
      <c r="CA41" s="88">
        <f>COUNTIFS(ECSAC[[الموضوع ]],"&lt;&gt;",ECSAC[تصنيف الموضوع],"مستجد",ECSAC[القطاع],$AU41,ECSAC[الإدارة],$AV41&amp;"")</f>
        <v/>
      </c>
      <c r="CB41" s="88">
        <f>COUNTIFS(ECSAC[مستوى الإنجاز],"قيد التطوير",ECSAC[القطاع],$AU41,ECSAC[الإدارة],$AV41&amp;"")+COUNTIFS(ECSAC[مستوى الإنجاز],"قيد المراجعة",ECSAC[القطاع],$AU41,ECSAC[الإدارة],$AV41&amp;"")</f>
        <v/>
      </c>
      <c r="CC41" s="88">
        <f>COUNTIFS(ECSAC[مستوى الإنجاز],"جاهز للعرض",ECSAC[القطاع],$AU41,ECSAC[الإدارة],$AV41&amp;"")</f>
        <v/>
      </c>
      <c r="CD41" s="88">
        <f t="array" ref="CD41">_xlfn.LET(
_xlpm.topic,IFERROR(Resolutions[الموضوع],""),
_xlpm.followup,TRIM(SUBSTITUTE(IFERROR(Resolutions[متطلبات المتابعة],""),CHAR(160)," ")),
_xlpm.itemStatus,TRIM(SUBSTITUTE(IFERROR(Resolutions[مستوى الإنجاز],""),CHAR(160)," ")),
_xlpm.sector,TRIM(SUBSTITUTE(IFERROR(Resolutions[القطاع],""),CHAR(160)," ")),
_xlpm.dept,TRIM(SUBSTITUTE(IFERROR(Resolutions[الإدارة],""),CHAR(160)," ")),
SUMPRODUCT(
--(_xlpm.topic&lt;&gt;""),
--(((_xlpm.followup="رسالة رسمية")+(_xlpm.followup="بريد من الوحدة التنظيمية"))&gt;0),
--(((_xlpm.itemStatus="قيد التطوير")+(_xlpm.itemStatus="قيد المراجعة"))&gt;0),
--(_xlpm.sector=TRIM(SUBSTITUTE($AU41,CHAR(160)," "))),
--(_xlpm.dept=TRIM(SUBSTITUTE($AV41,CHAR(160)," ")))
)
)</f>
        <v/>
      </c>
      <c r="CE41" s="88">
        <f>COUNTIFS(Projects[مستوى الإنجاز],"Active",Projects[القطاع],$AU41,Projects[[الإدارة ]],$AV41&amp;"")</f>
        <v/>
      </c>
      <c r="CF41" s="91">
        <f>COUNTIFS(Projects[مستوى الإنجاز],"Cancelled",Projects[القطاع],$AU41,Projects[[الإدارة ]],$AV41&amp;"")+COUNTIFS(Projects[مستوى الإنجاز],"Frozen",Projects[القطاع],$AU41,Projects[[الإدارة ]],$AV41&amp;"")</f>
        <v/>
      </c>
      <c r="CG41" s="88">
        <f>COUNTIFS(Projects[الربع],"Q1",Projects[القطاع],$AU41,Projects[[الإدارة ]],$AV41&amp;"")</f>
        <v/>
      </c>
      <c r="CH41" s="88">
        <f>COUNTIFS(Projects[الربع],"Q2",Projects[القطاع],$AU41,Projects[[الإدارة ]],$AV41&amp;"")</f>
        <v/>
      </c>
      <c r="CI41" s="88">
        <f>COUNTIFS(Projects[الربع],"Q3",Projects[القطاع],$AU41,Projects[[الإدارة ]],$AV41&amp;"")</f>
        <v/>
      </c>
      <c r="CJ41" s="88">
        <f>COUNTIFS(Projects[الربع],"Q4",Projects[القطاع],$AU41,Projects[[الإدارة ]],$AV41&amp;"")</f>
        <v/>
      </c>
    </row>
    <row r="42">
      <c r="AU42" s="85" t="inlineStr">
        <is>
          <t>الأمانة العامة للمجلس التنفيذي</t>
        </is>
      </c>
      <c r="AV42" s="85" t="inlineStr">
        <is>
          <t>مكتب التدقيق الداخلي</t>
        </is>
      </c>
      <c r="AW42" s="85" t="inlineStr">
        <is>
          <t>الشهر الحالي</t>
        </is>
      </c>
      <c r="AX42" s="85">
        <f t="array" ref="AX42">_xlfn.LET(
_xlpm.results,Strategy[[نتيجة العام ]],
SUMPRODUCT(
--(Strategy[المؤشر]&lt;&gt;"")*
--ISNUMBER(_xlpm.results)*
--(_xlpm.results&lt;&gt;0)*
--(Strategy[القطاع]=($AU42&amp;""))*
--(Strategy[الإدارة]=($AV42&amp;""))
)
)</f>
        <v/>
      </c>
      <c r="AY42" s="85">
        <f>IFERROR(
AVERAGEIFS(
Strategy[[نتيجة العام ]],
Strategy[المؤشر],"&lt;&gt;",
Strategy[[نتيجة العام ]],"&lt;&gt;0",
Strategy[القطاع],$AU42&amp;"",
Strategy[الإدارة],$AV42&amp;""
),
""
)</f>
        <v/>
      </c>
      <c r="AZ42" s="85">
        <f>COUNTIFS(Special[اسم المشروع],"&lt;&gt;",Special[القطاع],$AU42&amp;"",Special[[الإدارة ]],$AV42&amp;"")</f>
        <v/>
      </c>
      <c r="BA42" s="85">
        <f>COUNTIFS(Special[مستوى الإنجاز],"منجز",Special[مشاريع سموه],"نعم",Special[القطاع],$AU42&amp;"",Special[[الإدارة ]],$AV42&amp;"")</f>
        <v/>
      </c>
      <c r="BB42" s="85">
        <f>COUNTIFS(Special[مستوى الإنجاز],"متأخر",Special[مشاريع سموه],"نعم",Special[القطاع],$AU42&amp;"",Special[[الإدارة ]],$AV42&amp;"")</f>
        <v/>
      </c>
      <c r="BC42" s="85">
        <f>COUNTIFS(Special[مستوى الإنجاز],"منجز",Special[مشاريع سموه],"لا",Special[القطاع],$AU42&amp;"",Special[[الإدارة ]],$AV42&amp;"")</f>
        <v/>
      </c>
      <c r="BD42" s="85">
        <f>COUNTIFS(Special[مستوى الإنجاز],"متأخر",Special[مشاريع سموه],"لا",Special[القطاع],$AU42&amp;"",Special[[الإدارة ]],$AV42&amp;"")</f>
        <v/>
      </c>
      <c r="BE42" s="85">
        <f>COUNTIFS(ECSAC[[الموضوع ]],"&lt;&gt;",ECSAC[القطاع],$AU42&amp;"",ECSAC[الإدارة],$AV42&amp;"")</f>
        <v/>
      </c>
      <c r="BF42" s="85">
        <f>COUNTIFS(ECSAC[مستوى الإنجاز],"منجز",ECSAC[القطاع],$AU42&amp;"",ECSAC[الإدارة],$AV42&amp;"")</f>
        <v/>
      </c>
      <c r="BG42" s="85">
        <f>COUNTIFS(ECSAC[مستوى الإنجاز],"متأخر",ECSAC[القطاع],$AU42&amp;"",ECSAC[الإدارة],$AV42&amp;"")</f>
        <v/>
      </c>
      <c r="BH42" s="85">
        <f t="array" ref="BH42">_xlfn.LET(
 _xlpm.topic,IFERROR(Resolutions[الموضوع],""),
 _xlpm.followup,TRIM(SUBSTITUTE(IFERROR(Resolutions[متطلبات المتابعة],""),CHAR(160),"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--(_xlpm.sector=TRIM(SUBSTITUTE($AU42,CHAR(160)," "))),
  --(_xlpm.dept=TRIM(SUBSTITUTE($AV42,CHAR(160)," ")))
 )
)</f>
        <v/>
      </c>
      <c r="BI42" s="85">
        <f t="array" ref="BI42">_xlfn.LET(
 _xlpm.topic,IFERROR(Resolutions[الموضوع],""),
 _xlpm.followup,TRIM(SUBSTITUTE(IFERROR(Resolutions[متطلبات المتابعة],""),CHAR(160)," ")),
 _xlpm.itemStatus,TRIM(SUBSTITUTE(IFERROR(Resolutions[مستوى الإنجاز],""),CHAR(160),"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--(_xlpm.itemStatus="منجز"),
  --(_xlpm.sector=TRIM(SUBSTITUTE($AU42,CHAR(160)," "))),
  --(_xlpm.dept=TRIM(SUBSTITUTE($AV42,CHAR(160)," ")))
 )
)</f>
        <v/>
      </c>
      <c r="BJ42" s="85">
        <f t="array" ref="BJ42">_xlfn.LET(
 _xlpm.topic,IFERROR(Resolutions[الموضوع],""),
 _xlpm.followup,TRIM(SUBSTITUTE(IFERROR(Resolutions[متطلبات المتابعة],""),CHAR(160)," ")),
 _xlpm.itemStatus,TRIM(SUBSTITUTE(IFERROR(Resolutions[مستوى الإنجاز],""),CHAR(160),"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--(_xlpm.itemStatus="متأخر"),
  --(_xlpm.sector=TRIM(SUBSTITUTE($AU42,CHAR(160)," "))),
  --(_xlpm.dept=TRIM(SUBSTITUTE($AV42,CHAR(160)," ")))
 )
)</f>
        <v/>
      </c>
      <c r="BK42" s="85">
        <f>COUNTIFS(Projects[اسم المشروع],"&lt;&gt;",Projects[القطاع],$AU42&amp;"",Projects[[الإدارة ]],$AV42&amp;"")</f>
        <v/>
      </c>
      <c r="BL42" s="85">
        <f>COUNTIFS(Projects[مستوى الإنجاز],"Completed",Projects[القطاع],$AU42&amp;"",Projects[[الإدارة ]],$AV42&amp;"")</f>
        <v/>
      </c>
      <c r="BM42" s="85">
        <f>COUNTIFS(Projects[Late KPI],"Late",Projects[القطاع],$AU42&amp;"",Projects[[الإدارة ]],$AV42&amp;"")</f>
        <v/>
      </c>
      <c r="BN42" s="85">
        <f>COUNTIFS(Legislations[[عنوان التشريع ]],"&lt;&gt;",Legislations[القطاع],$AU42&amp;"",Legislations[الإدارة],$AV42&amp;"")</f>
        <v/>
      </c>
      <c r="BO42" s="85">
        <f>COUNTIFS(Legislations[مؤشرات الأداء],"في الموعد",Legislations[تجاوز الموعد],"&lt;&gt;متأخر",Legislations[القطاع],$AU42&amp;"",Legislations[الإدارة],$AV42&amp;"")</f>
        <v/>
      </c>
      <c r="BP42" s="85">
        <f>COUNTIFS(Legislations[مؤشرات الأداء],"في الموعد",Legislations[تجاوز الموعد],"متأخر",Legislations[القطاع],$AU42&amp;"",Legislations[الإدارة],$AV42&amp;"")</f>
        <v/>
      </c>
      <c r="BQ42" s="85">
        <f>COUNTIFS(Legislations[Late KPI],"متأخر",Legislations[القطاع],$AU42&amp;"",Legislations[الإدارة],$AV42&amp;"")</f>
        <v/>
      </c>
      <c r="BR42" s="85">
        <f t="array" ref="BR42">SUMPRODUCT(IFERROR(--Projects[الموازنة المعتمدة الجديدة],0),--(Projects[القطاع]=$AU42),--(Projects[[الإدارة ]]=$AV42))</f>
        <v/>
      </c>
      <c r="BS42" s="85">
        <f t="array" ref="BS42">SUMPRODUCT(IFERROR(--Projects[المنفق الفعلي],0),--(Projects[القطاع]=$AU42),--(Projects[[الإدارة ]]=$AV42))</f>
        <v/>
      </c>
      <c r="BT42" s="85">
        <f t="array" ref="BT42">SUMPRODUCT(IFERROR(--Projects[المخصص],0),--(Projects[القطاع]=$AU42),--(Projects[[الإدارة ]]=$AV42))</f>
        <v/>
      </c>
      <c r="BU42" s="85">
        <f t="array" ref="BU42">SUMPRODUCT(IFERROR(--Projects[غير المخصص],0),--(Projects[القطاع]=$AU42),--(Projects[[الإدارة ]]=$AV42))</f>
        <v/>
      </c>
      <c r="BV42" s="88">
        <f>COUNTIFS(Special[اسم المشروع],"&lt;&gt;",Special[مشاريع سموه],"نعم",Special[القطاع],$AU42,Special[[الإدارة ]],$AV42&amp;"")</f>
        <v/>
      </c>
      <c r="BW42" s="89">
        <f>COUNTIFS(Special[اسم المشروع],"&lt;&gt;",Special[مشاريع سموه],"لا",Special[القطاع],$AU42,Special[[الإدارة ]],$AV42&amp;"")</f>
        <v/>
      </c>
      <c r="BX42" s="88">
        <f>BV42-BA42-BB42</f>
        <v/>
      </c>
      <c r="BY42" s="88">
        <f>BW42-BC42-BD42</f>
        <v/>
      </c>
      <c r="BZ42" s="88">
        <f>COUNTIFS(ECSAC[[الموضوع ]],"&lt;&gt;",ECSAC[تصنيف الموضوع],"الأجندة السنوية",ECSAC[القطاع],$AU42,ECSAC[الإدارة],$AV42&amp;"")</f>
        <v/>
      </c>
      <c r="CA42" s="88">
        <f>COUNTIFS(ECSAC[[الموضوع ]],"&lt;&gt;",ECSAC[تصنيف الموضوع],"مستجد",ECSAC[القطاع],$AU42,ECSAC[الإدارة],$AV42&amp;"")</f>
        <v/>
      </c>
      <c r="CB42" s="88">
        <f>COUNTIFS(ECSAC[مستوى الإنجاز],"قيد التطوير",ECSAC[القطاع],$AU42,ECSAC[الإدارة],$AV42&amp;"")+COUNTIFS(ECSAC[مستوى الإنجاز],"قيد المراجعة",ECSAC[القطاع],$AU42,ECSAC[الإدارة],$AV42&amp;"")</f>
        <v/>
      </c>
      <c r="CC42" s="88">
        <f>COUNTIFS(ECSAC[مستوى الإنجاز],"جاهز للعرض",ECSAC[القطاع],$AU42,ECSAC[الإدارة],$AV42&amp;"")</f>
        <v/>
      </c>
      <c r="CD42" s="88">
        <f t="array" ref="CD42">_xlfn.LET(
_xlpm.topic,IFERROR(Resolutions[الموضوع],""),
_xlpm.followup,TRIM(SUBSTITUTE(IFERROR(Resolutions[متطلبات المتابعة],""),CHAR(160)," ")),
_xlpm.itemStatus,TRIM(SUBSTITUTE(IFERROR(Resolutions[مستوى الإنجاز],""),CHAR(160)," ")),
_xlpm.sector,TRIM(SUBSTITUTE(IFERROR(Resolutions[القطاع],""),CHAR(160)," ")),
_xlpm.dept,TRIM(SUBSTITUTE(IFERROR(Resolutions[الإدارة],""),CHAR(160)," ")),
SUMPRODUCT(
--(_xlpm.topic&lt;&gt;""),
--(((_xlpm.followup="رسالة رسمية")+(_xlpm.followup="بريد من الوحدة التنظيمية"))&gt;0),
--(((_xlpm.itemStatus="قيد التطوير")+(_xlpm.itemStatus="قيد المراجعة"))&gt;0),
--(_xlpm.sector=TRIM(SUBSTITUTE($AU42,CHAR(160)," "))),
--(_xlpm.dept=TRIM(SUBSTITUTE($AV42,CHAR(160)," ")))
)
)</f>
        <v/>
      </c>
      <c r="CE42" s="88">
        <f>COUNTIFS(Projects[مستوى الإنجاز],"Active",Projects[القطاع],$AU42,Projects[[الإدارة ]],$AV42&amp;"")</f>
        <v/>
      </c>
      <c r="CF42" s="91">
        <f>COUNTIFS(Projects[مستوى الإنجاز],"Cancelled",Projects[القطاع],$AU42,Projects[[الإدارة ]],$AV42&amp;"")+COUNTIFS(Projects[مستوى الإنجاز],"Frozen",Projects[القطاع],$AU42,Projects[[الإدارة ]],$AV42&amp;"")</f>
        <v/>
      </c>
      <c r="CG42" s="88">
        <f>COUNTIFS(Projects[الربع],"Q1",Projects[القطاع],$AU42,Projects[[الإدارة ]],$AV42&amp;"")</f>
        <v/>
      </c>
      <c r="CH42" s="88">
        <f>COUNTIFS(Projects[الربع],"Q2",Projects[القطاع],$AU42,Projects[[الإدارة ]],$AV42&amp;"")</f>
        <v/>
      </c>
      <c r="CI42" s="88">
        <f>COUNTIFS(Projects[الربع],"Q3",Projects[القطاع],$AU42,Projects[[الإدارة ]],$AV42&amp;"")</f>
        <v/>
      </c>
      <c r="CJ42" s="88">
        <f>COUNTIFS(Projects[الربع],"Q4",Projects[القطاع],$AU42,Projects[[الإدارة ]],$AV42&amp;"")</f>
        <v/>
      </c>
    </row>
    <row r="43">
      <c r="AU43" s="85" t="inlineStr">
        <is>
          <t>الأمانة العامة للمجلس التنفيذي</t>
        </is>
      </c>
      <c r="AV43" s="85" t="inlineStr">
        <is>
          <t>الأبحاث والرصد</t>
        </is>
      </c>
      <c r="AW43" s="85" t="inlineStr">
        <is>
          <t>الشهر الحالي</t>
        </is>
      </c>
      <c r="AX43" s="85">
        <f t="array" ref="AX43">_xlfn.LET(
_xlpm.results,Strategy[[نتيجة العام ]],
SUMPRODUCT(
--(Strategy[المؤشر]&lt;&gt;"")*
--ISNUMBER(_xlpm.results)*
--(_xlpm.results&lt;&gt;0)*
--(Strategy[القطاع]=($AU43&amp;""))*
--(Strategy[الإدارة]=($AV43&amp;""))
)
)</f>
        <v/>
      </c>
      <c r="AY43" s="85">
        <f>IFERROR(
AVERAGEIFS(
Strategy[[نتيجة العام ]],
Strategy[المؤشر],"&lt;&gt;",
Strategy[[نتيجة العام ]],"&lt;&gt;0",
Strategy[القطاع],$AU43&amp;"",
Strategy[الإدارة],$AV43&amp;""
),
""
)</f>
        <v/>
      </c>
      <c r="AZ43" s="85">
        <f>COUNTIFS(Special[اسم المشروع],"&lt;&gt;",Special[القطاع],$AU43&amp;"",Special[[الإدارة ]],$AV43&amp;"")</f>
        <v/>
      </c>
      <c r="BA43" s="85">
        <f>COUNTIFS(Special[مستوى الإنجاز],"منجز",Special[مشاريع سموه],"نعم",Special[القطاع],$AU43&amp;"",Special[[الإدارة ]],$AV43&amp;"")</f>
        <v/>
      </c>
      <c r="BB43" s="85">
        <f>COUNTIFS(Special[مستوى الإنجاز],"متأخر",Special[مشاريع سموه],"نعم",Special[القطاع],$AU43&amp;"",Special[[الإدارة ]],$AV43&amp;"")</f>
        <v/>
      </c>
      <c r="BC43" s="85">
        <f>COUNTIFS(Special[مستوى الإنجاز],"منجز",Special[مشاريع سموه],"لا",Special[القطاع],$AU43&amp;"",Special[[الإدارة ]],$AV43&amp;"")</f>
        <v/>
      </c>
      <c r="BD43" s="85">
        <f>COUNTIFS(Special[مستوى الإنجاز],"متأخر",Special[مشاريع سموه],"لا",Special[القطاع],$AU43&amp;"",Special[[الإدارة ]],$AV43&amp;"")</f>
        <v/>
      </c>
      <c r="BE43" s="85">
        <f>COUNTIFS(ECSAC[[الموضوع ]],"&lt;&gt;",ECSAC[القطاع],$AU43&amp;"",ECSAC[الإدارة],$AV43&amp;"")</f>
        <v/>
      </c>
      <c r="BF43" s="85">
        <f>COUNTIFS(ECSAC[مستوى الإنجاز],"منجز",ECSAC[القطاع],$AU43&amp;"",ECSAC[الإدارة],$AV43&amp;"")</f>
        <v/>
      </c>
      <c r="BG43" s="85">
        <f>COUNTIFS(ECSAC[مستوى الإنجاز],"متأخر",ECSAC[القطاع],$AU43&amp;"",ECSAC[الإدارة],$AV43&amp;"")</f>
        <v/>
      </c>
      <c r="BH43" s="85">
        <f t="array" ref="BH43">_xlfn.LET(
 _xlpm.topic,IFERROR(Resolutions[الموضوع],""),
 _xlpm.followup,TRIM(SUBSTITUTE(IFERROR(Resolutions[متطلبات المتابعة],""),CHAR(160),"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--(_xlpm.sector=TRIM(SUBSTITUTE($AU43,CHAR(160)," "))),
  --(_xlpm.dept=TRIM(SUBSTITUTE($AV43,CHAR(160)," ")))
 )
)</f>
        <v/>
      </c>
      <c r="BI43" s="85">
        <f t="array" ref="BI43">_xlfn.LET(
 _xlpm.topic,IFERROR(Resolutions[الموضوع],""),
 _xlpm.followup,TRIM(SUBSTITUTE(IFERROR(Resolutions[متطلبات المتابعة],""),CHAR(160)," ")),
 _xlpm.itemStatus,TRIM(SUBSTITUTE(IFERROR(Resolutions[مستوى الإنجاز],""),CHAR(160),"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--(_xlpm.itemStatus="منجز"),
  --(_xlpm.sector=TRIM(SUBSTITUTE($AU43,CHAR(160)," "))),
  --(_xlpm.dept=TRIM(SUBSTITUTE($AV43,CHAR(160)," ")))
 )
)</f>
        <v/>
      </c>
      <c r="BJ43" s="85">
        <f t="array" ref="BJ43">_xlfn.LET(
 _xlpm.topic,IFERROR(Resolutions[الموضوع],""),
 _xlpm.followup,TRIM(SUBSTITUTE(IFERROR(Resolutions[متطلبات المتابعة],""),CHAR(160)," ")),
 _xlpm.itemStatus,TRIM(SUBSTITUTE(IFERROR(Resolutions[مستوى الإنجاز],""),CHAR(160),"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--(_xlpm.itemStatus="متأخر"),
  --(_xlpm.sector=TRIM(SUBSTITUTE($AU43,CHAR(160)," "))),
  --(_xlpm.dept=TRIM(SUBSTITUTE($AV43,CHAR(160)," ")))
 )
)</f>
        <v/>
      </c>
      <c r="BK43" s="85">
        <f>COUNTIFS(Projects[اسم المشروع],"&lt;&gt;",Projects[القطاع],$AU43&amp;"",Projects[[الإدارة ]],$AV43&amp;"")</f>
        <v/>
      </c>
      <c r="BL43" s="85">
        <f>COUNTIFS(Projects[مستوى الإنجاز],"Completed",Projects[القطاع],$AU43&amp;"",Projects[[الإدارة ]],$AV43&amp;"")</f>
        <v/>
      </c>
      <c r="BM43" s="85">
        <f>COUNTIFS(Projects[Late KPI],"Late",Projects[القطاع],$AU43&amp;"",Projects[[الإدارة ]],$AV43&amp;"")</f>
        <v/>
      </c>
      <c r="BN43" s="85">
        <f>COUNTIFS(Legislations[[عنوان التشريع ]],"&lt;&gt;",Legislations[القطاع],$AU43&amp;"",Legislations[الإدارة],$AV43&amp;"")</f>
        <v/>
      </c>
      <c r="BO43" s="85">
        <f>COUNTIFS(Legislations[مؤشرات الأداء],"في الموعد",Legislations[تجاوز الموعد],"&lt;&gt;متأخر",Legislations[القطاع],$AU43&amp;"",Legislations[الإدارة],$AV43&amp;"")</f>
        <v/>
      </c>
      <c r="BP43" s="85">
        <f>COUNTIFS(Legislations[مؤشرات الأداء],"في الموعد",Legislations[تجاوز الموعد],"متأخر",Legislations[القطاع],$AU43&amp;"",Legislations[الإدارة],$AV43&amp;"")</f>
        <v/>
      </c>
      <c r="BQ43" s="85">
        <f>COUNTIFS(Legislations[Late KPI],"متأخر",Legislations[القطاع],$AU43&amp;"",Legislations[الإدارة],$AV43&amp;"")</f>
        <v/>
      </c>
      <c r="BR43" s="85">
        <f t="array" ref="BR43">SUMPRODUCT(IFERROR(--Projects[الموازنة المعتمدة الجديدة],0),--(Projects[القطاع]=$AU43),--(Projects[[الإدارة ]]=$AV43))</f>
        <v/>
      </c>
      <c r="BS43" s="85">
        <f t="array" ref="BS43">SUMPRODUCT(IFERROR(--Projects[المنفق الفعلي],0),--(Projects[القطاع]=$AU43),--(Projects[[الإدارة ]]=$AV43))</f>
        <v/>
      </c>
      <c r="BT43" s="85">
        <f t="array" ref="BT43">SUMPRODUCT(IFERROR(--Projects[المخصص],0),--(Projects[القطاع]=$AU43),--(Projects[[الإدارة ]]=$AV43))</f>
        <v/>
      </c>
      <c r="BU43" s="85">
        <f t="array" ref="BU43">SUMPRODUCT(IFERROR(--Projects[غير المخصص],0),--(Projects[القطاع]=$AU43),--(Projects[[الإدارة ]]=$AV43))</f>
        <v/>
      </c>
      <c r="BV43" s="88">
        <f>COUNTIFS(Special[اسم المشروع],"&lt;&gt;",Special[مشاريع سموه],"نعم",Special[القطاع],$AU43,Special[[الإدارة ]],$AV43&amp;"")</f>
        <v/>
      </c>
      <c r="BW43" s="89">
        <f>COUNTIFS(Special[اسم المشروع],"&lt;&gt;",Special[مشاريع سموه],"لا",Special[القطاع],$AU43,Special[[الإدارة ]],$AV43&amp;"")</f>
        <v/>
      </c>
      <c r="BX43" s="88">
        <f>BV43-BA43-BB43</f>
        <v/>
      </c>
      <c r="BY43" s="88">
        <f>BW43-BC43-BD43</f>
        <v/>
      </c>
      <c r="BZ43" s="88">
        <f>COUNTIFS(ECSAC[[الموضوع ]],"&lt;&gt;",ECSAC[تصنيف الموضوع],"الأجندة السنوية",ECSAC[القطاع],$AU43,ECSAC[الإدارة],$AV43&amp;"")</f>
        <v/>
      </c>
      <c r="CA43" s="88">
        <f>COUNTIFS(ECSAC[[الموضوع ]],"&lt;&gt;",ECSAC[تصنيف الموضوع],"مستجد",ECSAC[القطاع],$AU43,ECSAC[الإدارة],$AV43&amp;"")</f>
        <v/>
      </c>
      <c r="CB43" s="88">
        <f>COUNTIFS(ECSAC[مستوى الإنجاز],"قيد التطوير",ECSAC[القطاع],$AU43,ECSAC[الإدارة],$AV43&amp;"")+COUNTIFS(ECSAC[مستوى الإنجاز],"قيد المراجعة",ECSAC[القطاع],$AU43,ECSAC[الإدارة],$AV43&amp;"")</f>
        <v/>
      </c>
      <c r="CC43" s="88">
        <f>COUNTIFS(ECSAC[مستوى الإنجاز],"جاهز للعرض",ECSAC[القطاع],$AU43,ECSAC[الإدارة],$AV43&amp;"")</f>
        <v/>
      </c>
      <c r="CD43" s="88">
        <f t="array" ref="CD43">_xlfn.LET(
_xlpm.topic,IFERROR(Resolutions[الموضوع],""),
_xlpm.followup,TRIM(SUBSTITUTE(IFERROR(Resolutions[متطلبات المتابعة],""),CHAR(160)," ")),
_xlpm.itemStatus,TRIM(SUBSTITUTE(IFERROR(Resolutions[مستوى الإنجاز],""),CHAR(160)," ")),
_xlpm.sector,TRIM(SUBSTITUTE(IFERROR(Resolutions[القطاع],""),CHAR(160)," ")),
_xlpm.dept,TRIM(SUBSTITUTE(IFERROR(Resolutions[الإدارة],""),CHAR(160)," ")),
SUMPRODUCT(
--(_xlpm.topic&lt;&gt;""),
--(((_xlpm.followup="رسالة رسمية")+(_xlpm.followup="بريد من الوحدة التنظيمية"))&gt;0),
--(((_xlpm.itemStatus="قيد التطوير")+(_xlpm.itemStatus="قيد المراجعة"))&gt;0),
--(_xlpm.sector=TRIM(SUBSTITUTE($AU43,CHAR(160)," "))),
--(_xlpm.dept=TRIM(SUBSTITUTE($AV43,CHAR(160)," ")))
)
)</f>
        <v/>
      </c>
      <c r="CE43" s="88">
        <f>COUNTIFS(Projects[مستوى الإنجاز],"Active",Projects[القطاع],$AU43,Projects[[الإدارة ]],$AV43&amp;"")</f>
        <v/>
      </c>
      <c r="CF43" s="91">
        <f>COUNTIFS(Projects[مستوى الإنجاز],"Cancelled",Projects[القطاع],$AU43,Projects[[الإدارة ]],$AV43&amp;"")+COUNTIFS(Projects[مستوى الإنجاز],"Frozen",Projects[القطاع],$AU43,Projects[[الإدارة ]],$AV43&amp;"")</f>
        <v/>
      </c>
      <c r="CG43" s="88">
        <f>COUNTIFS(Projects[الربع],"Q1",Projects[القطاع],$AU43,Projects[[الإدارة ]],$AV43&amp;"")</f>
        <v/>
      </c>
      <c r="CH43" s="88">
        <f>COUNTIFS(Projects[الربع],"Q2",Projects[القطاع],$AU43,Projects[[الإدارة ]],$AV43&amp;"")</f>
        <v/>
      </c>
      <c r="CI43" s="88">
        <f>COUNTIFS(Projects[الربع],"Q3",Projects[القطاع],$AU43,Projects[[الإدارة ]],$AV43&amp;"")</f>
        <v/>
      </c>
      <c r="CJ43" s="88">
        <f>COUNTIFS(Projects[الربع],"Q4",Projects[القطاع],$AU43,Projects[[الإدارة ]],$AV43&amp;"")</f>
        <v/>
      </c>
    </row>
    <row r="44">
      <c r="AU44" s="85" t="inlineStr">
        <is>
          <t>الأمانة العامة للمجلس التنفيذي</t>
        </is>
      </c>
      <c r="AV44" s="85" t="inlineStr">
        <is>
          <t>الشراكات والعلاقات الدولية</t>
        </is>
      </c>
      <c r="AW44" s="85" t="inlineStr">
        <is>
          <t>الشهر الحالي</t>
        </is>
      </c>
      <c r="AX44" s="85">
        <f t="array" ref="AX44">_xlfn.LET(
_xlpm.results,Strategy[[نتيجة العام ]],
SUMPRODUCT(
--(Strategy[المؤشر]&lt;&gt;"")*
--ISNUMBER(_xlpm.results)*
--(_xlpm.results&lt;&gt;0)*
--(Strategy[القطاع]=($AU44&amp;""))*
--(Strategy[الإدارة]=($AV44&amp;""))
)
)</f>
        <v/>
      </c>
      <c r="AY44" s="85">
        <f>IFERROR(
AVERAGEIFS(
Strategy[[نتيجة العام ]],
Strategy[المؤشر],"&lt;&gt;",
Strategy[[نتيجة العام ]],"&lt;&gt;0",
Strategy[القطاع],$AU44&amp;"",
Strategy[الإدارة],$AV44&amp;""
),
""
)</f>
        <v/>
      </c>
      <c r="AZ44" s="85">
        <f>COUNTIFS(Special[اسم المشروع],"&lt;&gt;",Special[القطاع],$AU44&amp;"",Special[[الإدارة ]],$AV44&amp;"")</f>
        <v/>
      </c>
      <c r="BA44" s="85">
        <f>COUNTIFS(Special[مستوى الإنجاز],"منجز",Special[مشاريع سموه],"نعم",Special[القطاع],$AU44&amp;"",Special[[الإدارة ]],$AV44&amp;"")</f>
        <v/>
      </c>
      <c r="BB44" s="85">
        <f>COUNTIFS(Special[مستوى الإنجاز],"متأخر",Special[مشاريع سموه],"نعم",Special[القطاع],$AU44&amp;"",Special[[الإدارة ]],$AV44&amp;"")</f>
        <v/>
      </c>
      <c r="BC44" s="85">
        <f>COUNTIFS(Special[مستوى الإنجاز],"منجز",Special[مشاريع سموه],"لا",Special[القطاع],$AU44&amp;"",Special[[الإدارة ]],$AV44&amp;"")</f>
        <v/>
      </c>
      <c r="BD44" s="85">
        <f>COUNTIFS(Special[مستوى الإنجاز],"متأخر",Special[مشاريع سموه],"لا",Special[القطاع],$AU44&amp;"",Special[[الإدارة ]],$AV44&amp;"")</f>
        <v/>
      </c>
      <c r="BE44" s="85">
        <f>COUNTIFS(ECSAC[[الموضوع ]],"&lt;&gt;",ECSAC[القطاع],$AU44&amp;"",ECSAC[الإدارة],$AV44&amp;"")</f>
        <v/>
      </c>
      <c r="BF44" s="85">
        <f>COUNTIFS(ECSAC[مستوى الإنجاز],"منجز",ECSAC[القطاع],$AU44&amp;"",ECSAC[الإدارة],$AV44&amp;"")</f>
        <v/>
      </c>
      <c r="BG44" s="85">
        <f>COUNTIFS(ECSAC[مستوى الإنجاز],"متأخر",ECSAC[القطاع],$AU44&amp;"",ECSAC[الإدارة],$AV44&amp;"")</f>
        <v/>
      </c>
      <c r="BH44" s="85">
        <f t="array" ref="BH44">_xlfn.LET(
 _xlpm.topic,IFERROR(Resolutions[الموضوع],""),
 _xlpm.followup,TRIM(SUBSTITUTE(IFERROR(Resolutions[متطلبات المتابعة],""),CHAR(160),"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--(_xlpm.sector=TRIM(SUBSTITUTE($AU44,CHAR(160)," "))),
  --(_xlpm.dept=TRIM(SUBSTITUTE($AV44,CHAR(160)," ")))
 )
)</f>
        <v/>
      </c>
      <c r="BI44" s="85">
        <f t="array" ref="BI44">_xlfn.LET(
 _xlpm.topic,IFERROR(Resolutions[الموضوع],""),
 _xlpm.followup,TRIM(SUBSTITUTE(IFERROR(Resolutions[متطلبات المتابعة],""),CHAR(160)," ")),
 _xlpm.itemStatus,TRIM(SUBSTITUTE(IFERROR(Resolutions[مستوى الإنجاز],""),CHAR(160),"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--(_xlpm.itemStatus="منجز"),
  --(_xlpm.sector=TRIM(SUBSTITUTE($AU44,CHAR(160)," "))),
  --(_xlpm.dept=TRIM(SUBSTITUTE($AV44,CHAR(160)," ")))
 )
)</f>
        <v/>
      </c>
      <c r="BJ44" s="85">
        <f t="array" ref="BJ44">_xlfn.LET(
 _xlpm.topic,IFERROR(Resolutions[الموضوع],""),
 _xlpm.followup,TRIM(SUBSTITUTE(IFERROR(Resolutions[متطلبات المتابعة],""),CHAR(160)," ")),
 _xlpm.itemStatus,TRIM(SUBSTITUTE(IFERROR(Resolutions[مستوى الإنجاز],""),CHAR(160),"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--(_xlpm.itemStatus="متأخر"),
  --(_xlpm.sector=TRIM(SUBSTITUTE($AU44,CHAR(160)," "))),
  --(_xlpm.dept=TRIM(SUBSTITUTE($AV44,CHAR(160)," ")))
 )
)</f>
        <v/>
      </c>
      <c r="BK44" s="85">
        <f>COUNTIFS(Projects[اسم المشروع],"&lt;&gt;",Projects[القطاع],$AU44&amp;"",Projects[[الإدارة ]],$AV44&amp;"")</f>
        <v/>
      </c>
      <c r="BL44" s="85">
        <f>COUNTIFS(Projects[مستوى الإنجاز],"Completed",Projects[القطاع],$AU44&amp;"",Projects[[الإدارة ]],$AV44&amp;"")</f>
        <v/>
      </c>
      <c r="BM44" s="85">
        <f>COUNTIFS(Projects[Late KPI],"Late",Projects[القطاع],$AU44&amp;"",Projects[[الإدارة ]],$AV44&amp;"")</f>
        <v/>
      </c>
      <c r="BN44" s="85">
        <f>COUNTIFS(Legislations[[عنوان التشريع ]],"&lt;&gt;",Legislations[القطاع],$AU44&amp;"",Legislations[الإدارة],$AV44&amp;"")</f>
        <v/>
      </c>
      <c r="BO44" s="85">
        <f>COUNTIFS(Legislations[مؤشرات الأداء],"في الموعد",Legislations[تجاوز الموعد],"&lt;&gt;متأخر",Legislations[القطاع],$AU44&amp;"",Legislations[الإدارة],$AV44&amp;"")</f>
        <v/>
      </c>
      <c r="BP44" s="85">
        <f>COUNTIFS(Legislations[مؤشرات الأداء],"في الموعد",Legislations[تجاوز الموعد],"متأخر",Legislations[القطاع],$AU44&amp;"",Legislations[الإدارة],$AV44&amp;"")</f>
        <v/>
      </c>
      <c r="BQ44" s="85">
        <f>COUNTIFS(Legislations[Late KPI],"متأخر",Legislations[القطاع],$AU44&amp;"",Legislations[الإدارة],$AV44&amp;"")</f>
        <v/>
      </c>
      <c r="BR44" s="85">
        <f t="array" ref="BR44">SUMPRODUCT(IFERROR(--Projects[الموازنة المعتمدة الجديدة],0),--(Projects[القطاع]=$AU44),--(Projects[[الإدارة ]]=$AV44))</f>
        <v/>
      </c>
      <c r="BS44" s="85">
        <f t="array" ref="BS44">SUMPRODUCT(IFERROR(--Projects[المنفق الفعلي],0),--(Projects[القطاع]=$AU44),--(Projects[[الإدارة ]]=$AV44))</f>
        <v/>
      </c>
      <c r="BT44" s="85">
        <f t="array" ref="BT44">SUMPRODUCT(IFERROR(--Projects[المخصص],0),--(Projects[القطاع]=$AU44),--(Projects[[الإدارة ]]=$AV44))</f>
        <v/>
      </c>
      <c r="BU44" s="85">
        <f t="array" ref="BU44">SUMPRODUCT(IFERROR(--Projects[غير المخصص],0),--(Projects[القطاع]=$AU44),--(Projects[[الإدارة ]]=$AV44))</f>
        <v/>
      </c>
      <c r="BV44" s="88">
        <f>COUNTIFS(Special[اسم المشروع],"&lt;&gt;",Special[مشاريع سموه],"نعم",Special[القطاع],$AU44,Special[[الإدارة ]],$AV44&amp;"")</f>
        <v/>
      </c>
      <c r="BW44" s="89">
        <f>COUNTIFS(Special[اسم المشروع],"&lt;&gt;",Special[مشاريع سموه],"لا",Special[القطاع],$AU44,Special[[الإدارة ]],$AV44&amp;"")</f>
        <v/>
      </c>
      <c r="BX44" s="88">
        <f>BV44-BA44-BB44</f>
        <v/>
      </c>
      <c r="BY44" s="88">
        <f>BW44-BC44-BD44</f>
        <v/>
      </c>
      <c r="BZ44" s="88">
        <f>COUNTIFS(ECSAC[[الموضوع ]],"&lt;&gt;",ECSAC[تصنيف الموضوع],"الأجندة السنوية",ECSAC[القطاع],$AU44,ECSAC[الإدارة],$AV44&amp;"")</f>
        <v/>
      </c>
      <c r="CA44" s="88">
        <f>COUNTIFS(ECSAC[[الموضوع ]],"&lt;&gt;",ECSAC[تصنيف الموضوع],"مستجد",ECSAC[القطاع],$AU44,ECSAC[الإدارة],$AV44&amp;"")</f>
        <v/>
      </c>
      <c r="CB44" s="88">
        <f>COUNTIFS(ECSAC[مستوى الإنجاز],"قيد التطوير",ECSAC[القطاع],$AU44,ECSAC[الإدارة],$AV44&amp;"")+COUNTIFS(ECSAC[مستوى الإنجاز],"قيد المراجعة",ECSAC[القطاع],$AU44,ECSAC[الإدارة],$AV44&amp;"")</f>
        <v/>
      </c>
      <c r="CC44" s="88">
        <f>COUNTIFS(ECSAC[مستوى الإنجاز],"جاهز للعرض",ECSAC[القطاع],$AU44,ECSAC[الإدارة],$AV44&amp;"")</f>
        <v/>
      </c>
      <c r="CD44" s="88">
        <f t="array" ref="CD44">_xlfn.LET(
_xlpm.topic,IFERROR(Resolutions[الموضوع],""),
_xlpm.followup,TRIM(SUBSTITUTE(IFERROR(Resolutions[متطلبات المتابعة],""),CHAR(160)," ")),
_xlpm.itemStatus,TRIM(SUBSTITUTE(IFERROR(Resolutions[مستوى الإنجاز],""),CHAR(160)," ")),
_xlpm.sector,TRIM(SUBSTITUTE(IFERROR(Resolutions[القطاع],""),CHAR(160)," ")),
_xlpm.dept,TRIM(SUBSTITUTE(IFERROR(Resolutions[الإدارة],""),CHAR(160)," ")),
SUMPRODUCT(
--(_xlpm.topic&lt;&gt;""),
--(((_xlpm.followup="رسالة رسمية")+(_xlpm.followup="بريد من الوحدة التنظيمية"))&gt;0),
--(((_xlpm.itemStatus="قيد التطوير")+(_xlpm.itemStatus="قيد المراجعة"))&gt;0),
--(_xlpm.sector=TRIM(SUBSTITUTE($AU44,CHAR(160)," "))),
--(_xlpm.dept=TRIM(SUBSTITUTE($AV44,CHAR(160)," ")))
)
)</f>
        <v/>
      </c>
      <c r="CE44" s="88">
        <f>COUNTIFS(Projects[مستوى الإنجاز],"Active",Projects[القطاع],$AU44,Projects[[الإدارة ]],$AV44&amp;"")</f>
        <v/>
      </c>
      <c r="CF44" s="91">
        <f>COUNTIFS(Projects[مستوى الإنجاز],"Cancelled",Projects[القطاع],$AU44,Projects[[الإدارة ]],$AV44&amp;"")+COUNTIFS(Projects[مستوى الإنجاز],"Frozen",Projects[القطاع],$AU44,Projects[[الإدارة ]],$AV44&amp;"")</f>
        <v/>
      </c>
      <c r="CG44" s="88">
        <f>COUNTIFS(Projects[الربع],"Q1",Projects[القطاع],$AU44,Projects[[الإدارة ]],$AV44&amp;"")</f>
        <v/>
      </c>
      <c r="CH44" s="88">
        <f>COUNTIFS(Projects[الربع],"Q2",Projects[القطاع],$AU44,Projects[[الإدارة ]],$AV44&amp;"")</f>
        <v/>
      </c>
      <c r="CI44" s="88">
        <f>COUNTIFS(Projects[الربع],"Q3",Projects[القطاع],$AU44,Projects[[الإدارة ]],$AV44&amp;"")</f>
        <v/>
      </c>
      <c r="CJ44" s="88">
        <f>COUNTIFS(Projects[الربع],"Q4",Projects[القطاع],$AU44,Projects[[الإدارة ]],$AV44&amp;"")</f>
        <v/>
      </c>
    </row>
    <row r="45">
      <c r="AU45" s="85" t="inlineStr">
        <is>
          <t>الاقتصاد والتنمية الاجتماعية</t>
        </is>
      </c>
      <c r="AV45" s="85" t="inlineStr">
        <is>
          <t>السياسات والإستراتيجيات الاقتصادية</t>
        </is>
      </c>
      <c r="AW45" s="85" t="inlineStr">
        <is>
          <t>الشهر الحالي</t>
        </is>
      </c>
      <c r="AX45" s="85">
        <f t="array" ref="AX45">_xlfn.LET(
_xlpm.results,Strategy[[نتيجة العام ]],
SUMPRODUCT(
--(Strategy[المؤشر]&lt;&gt;"")*
--ISNUMBER(_xlpm.results)*
--(_xlpm.results&lt;&gt;0)*
--(Strategy[القطاع]=($AU45&amp;""))*
--(Strategy[الإدارة]=($AV45&amp;""))
)
)</f>
        <v/>
      </c>
      <c r="AY45" s="85">
        <f>IFERROR(
AVERAGEIFS(
Strategy[[نتيجة العام ]],
Strategy[المؤشر],"&lt;&gt;",
Strategy[[نتيجة العام ]],"&lt;&gt;0",
Strategy[القطاع],$AU45&amp;"",
Strategy[الإدارة],$AV45&amp;""
),
""
)</f>
        <v/>
      </c>
      <c r="AZ45" s="85">
        <f>COUNTIFS(Special[اسم المشروع],"&lt;&gt;",Special[القطاع],$AU45&amp;"",Special[[الإدارة ]],$AV45&amp;"")</f>
        <v/>
      </c>
      <c r="BA45" s="85">
        <f>COUNTIFS(Special[مستوى الإنجاز],"منجز",Special[مشاريع سموه],"نعم",Special[القطاع],$AU45&amp;"",Special[[الإدارة ]],$AV45&amp;"")</f>
        <v/>
      </c>
      <c r="BB45" s="85">
        <f>COUNTIFS(Special[مستوى الإنجاز],"متأخر",Special[مشاريع سموه],"نعم",Special[القطاع],$AU45&amp;"",Special[[الإدارة ]],$AV45&amp;"")</f>
        <v/>
      </c>
      <c r="BC45" s="85">
        <f>COUNTIFS(Special[مستوى الإنجاز],"منجز",Special[مشاريع سموه],"لا",Special[القطاع],$AU45&amp;"",Special[[الإدارة ]],$AV45&amp;"")</f>
        <v/>
      </c>
      <c r="BD45" s="85">
        <f>COUNTIFS(Special[مستوى الإنجاز],"متأخر",Special[مشاريع سموه],"لا",Special[القطاع],$AU45&amp;"",Special[[الإدارة ]],$AV45&amp;"")</f>
        <v/>
      </c>
      <c r="BE45" s="85">
        <f>COUNTIFS(ECSAC[[الموضوع ]],"&lt;&gt;",ECSAC[القطاع],$AU45&amp;"",ECSAC[الإدارة],$AV45&amp;"")</f>
        <v/>
      </c>
      <c r="BF45" s="85">
        <f>COUNTIFS(ECSAC[مستوى الإنجاز],"منجز",ECSAC[القطاع],$AU45&amp;"",ECSAC[الإدارة],$AV45&amp;"")</f>
        <v/>
      </c>
      <c r="BG45" s="85">
        <f>COUNTIFS(ECSAC[مستوى الإنجاز],"متأخر",ECSAC[القطاع],$AU45&amp;"",ECSAC[الإدارة],$AV45&amp;"")</f>
        <v/>
      </c>
      <c r="BH45" s="85">
        <f t="array" ref="BH45">_xlfn.LET(
 _xlpm.topic,IFERROR(Resolutions[الموضوع],""),
 _xlpm.followup,TRIM(SUBSTITUTE(IFERROR(Resolutions[متطلبات المتابعة],""),CHAR(160),"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--(_xlpm.sector=TRIM(SUBSTITUTE($AU45,CHAR(160)," "))),
  --(_xlpm.dept=TRIM(SUBSTITUTE($AV45,CHAR(160)," ")))
 )
)</f>
        <v/>
      </c>
      <c r="BI45" s="85">
        <f t="array" ref="BI45">_xlfn.LET(
 _xlpm.topic,IFERROR(Resolutions[الموضوع],""),
 _xlpm.followup,TRIM(SUBSTITUTE(IFERROR(Resolutions[متطلبات المتابعة],""),CHAR(160)," ")),
 _xlpm.itemStatus,TRIM(SUBSTITUTE(IFERROR(Resolutions[مستوى الإنجاز],""),CHAR(160),"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--(_xlpm.itemStatus="منجز"),
  --(_xlpm.sector=TRIM(SUBSTITUTE($AU45,CHAR(160)," "))),
  --(_xlpm.dept=TRIM(SUBSTITUTE($AV45,CHAR(160)," ")))
 )
)</f>
        <v/>
      </c>
      <c r="BJ45" s="85">
        <f t="array" ref="BJ45">_xlfn.LET(
 _xlpm.topic,IFERROR(Resolutions[الموضوع],""),
 _xlpm.followup,TRIM(SUBSTITUTE(IFERROR(Resolutions[متطلبات المتابعة],""),CHAR(160)," ")),
 _xlpm.itemStatus,TRIM(SUBSTITUTE(IFERROR(Resolutions[مستوى الإنجاز],""),CHAR(160),"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--(_xlpm.itemStatus="متأخر"),
  --(_xlpm.sector=TRIM(SUBSTITUTE($AU45,CHAR(160)," "))),
  --(_xlpm.dept=TRIM(SUBSTITUTE($AV45,CHAR(160)," ")))
 )
)</f>
        <v/>
      </c>
      <c r="BK45" s="85">
        <f>COUNTIFS(Projects[اسم المشروع],"&lt;&gt;",Projects[القطاع],$AU45&amp;"",Projects[[الإدارة ]],$AV45&amp;"")</f>
        <v/>
      </c>
      <c r="BL45" s="85">
        <f>COUNTIFS(Projects[مستوى الإنجاز],"Completed",Projects[القطاع],$AU45&amp;"",Projects[[الإدارة ]],$AV45&amp;"")</f>
        <v/>
      </c>
      <c r="BM45" s="85">
        <f>COUNTIFS(Projects[Late KPI],"Late",Projects[القطاع],$AU45&amp;"",Projects[[الإدارة ]],$AV45&amp;"")</f>
        <v/>
      </c>
      <c r="BN45" s="85">
        <f>COUNTIFS(Legislations[[عنوان التشريع ]],"&lt;&gt;",Legislations[القطاع],$AU45&amp;"",Legislations[الإدارة],$AV45&amp;"")</f>
        <v/>
      </c>
      <c r="BO45" s="85">
        <f>COUNTIFS(Legislations[مؤشرات الأداء],"في الموعد",Legislations[تجاوز الموعد],"&lt;&gt;متأخر",Legislations[القطاع],$AU45&amp;"",Legislations[الإدارة],$AV45&amp;"")</f>
        <v/>
      </c>
      <c r="BP45" s="85">
        <f>COUNTIFS(Legislations[مؤشرات الأداء],"في الموعد",Legislations[تجاوز الموعد],"متأخر",Legislations[القطاع],$AU45&amp;"",Legislations[الإدارة],$AV45&amp;"")</f>
        <v/>
      </c>
      <c r="BQ45" s="85">
        <f>COUNTIFS(Legislations[Late KPI],"متأخر",Legislations[القطاع],$AU45&amp;"",Legislations[الإدارة],$AV45&amp;"")</f>
        <v/>
      </c>
      <c r="BR45" s="85">
        <f t="array" ref="BR45">SUMPRODUCT(IFERROR(--Projects[الموازنة المعتمدة الجديدة],0),--(Projects[القطاع]=$AU45),--(Projects[[الإدارة ]]=$AV45))</f>
        <v/>
      </c>
      <c r="BS45" s="85">
        <f t="array" ref="BS45">SUMPRODUCT(IFERROR(--Projects[المنفق الفعلي],0),--(Projects[القطاع]=$AU45),--(Projects[[الإدارة ]]=$AV45))</f>
        <v/>
      </c>
      <c r="BT45" s="85">
        <f t="array" ref="BT45">SUMPRODUCT(IFERROR(--Projects[المخصص],0),--(Projects[القطاع]=$AU45),--(Projects[[الإدارة ]]=$AV45))</f>
        <v/>
      </c>
      <c r="BU45" s="85">
        <f t="array" ref="BU45">SUMPRODUCT(IFERROR(--Projects[غير المخصص],0),--(Projects[القطاع]=$AU45),--(Projects[[الإدارة ]]=$AV45))</f>
        <v/>
      </c>
      <c r="BV45" s="88">
        <f>COUNTIFS(Special[اسم المشروع],"&lt;&gt;",Special[مشاريع سموه],"نعم",Special[القطاع],$AU45,Special[[الإدارة ]],$AV45&amp;"")</f>
        <v/>
      </c>
      <c r="BW45" s="89">
        <f>COUNTIFS(Special[اسم المشروع],"&lt;&gt;",Special[مشاريع سموه],"لا",Special[القطاع],$AU45,Special[[الإدارة ]],$AV45&amp;"")</f>
        <v/>
      </c>
      <c r="BX45" s="88">
        <f>BV45-BA45-BB45</f>
        <v/>
      </c>
      <c r="BY45" s="88">
        <f>BW45-BC45-BD45</f>
        <v/>
      </c>
      <c r="BZ45" s="88">
        <f>COUNTIFS(ECSAC[[الموضوع ]],"&lt;&gt;",ECSAC[تصنيف الموضوع],"الأجندة السنوية",ECSAC[القطاع],$AU45,ECSAC[الإدارة],$AV45&amp;"")</f>
        <v/>
      </c>
      <c r="CA45" s="88">
        <f>COUNTIFS(ECSAC[[الموضوع ]],"&lt;&gt;",ECSAC[تصنيف الموضوع],"مستجد",ECSAC[القطاع],$AU45,ECSAC[الإدارة],$AV45&amp;"")</f>
        <v/>
      </c>
      <c r="CB45" s="88">
        <f>COUNTIFS(ECSAC[مستوى الإنجاز],"قيد التطوير",ECSAC[القطاع],$AU45,ECSAC[الإدارة],$AV45&amp;"")+COUNTIFS(ECSAC[مستوى الإنجاز],"قيد المراجعة",ECSAC[القطاع],$AU45,ECSAC[الإدارة],$AV45&amp;"")</f>
        <v/>
      </c>
      <c r="CC45" s="88">
        <f>COUNTIFS(ECSAC[مستوى الإنجاز],"جاهز للعرض",ECSAC[القطاع],$AU45,ECSAC[الإدارة],$AV45&amp;"")</f>
        <v/>
      </c>
      <c r="CD45" s="88">
        <f t="array" ref="CD45">_xlfn.LET(
_xlpm.topic,IFERROR(Resolutions[الموضوع],""),
_xlpm.followup,TRIM(SUBSTITUTE(IFERROR(Resolutions[متطلبات المتابعة],""),CHAR(160)," ")),
_xlpm.itemStatus,TRIM(SUBSTITUTE(IFERROR(Resolutions[مستوى الإنجاز],""),CHAR(160)," ")),
_xlpm.sector,TRIM(SUBSTITUTE(IFERROR(Resolutions[القطاع],""),CHAR(160)," ")),
_xlpm.dept,TRIM(SUBSTITUTE(IFERROR(Resolutions[الإدارة],""),CHAR(160)," ")),
SUMPRODUCT(
--(_xlpm.topic&lt;&gt;""),
--(((_xlpm.followup="رسالة رسمية")+(_xlpm.followup="بريد من الوحدة التنظيمية"))&gt;0),
--(((_xlpm.itemStatus="قيد التطوير")+(_xlpm.itemStatus="قيد المراجعة"))&gt;0),
--(_xlpm.sector=TRIM(SUBSTITUTE($AU45,CHAR(160)," "))),
--(_xlpm.dept=TRIM(SUBSTITUTE($AV45,CHAR(160)," ")))
)
)</f>
        <v/>
      </c>
      <c r="CE45" s="88">
        <f>COUNTIFS(Projects[مستوى الإنجاز],"Active",Projects[القطاع],$AU45,Projects[[الإدارة ]],$AV45&amp;"")</f>
        <v/>
      </c>
      <c r="CF45" s="91">
        <f>COUNTIFS(Projects[مستوى الإنجاز],"Cancelled",Projects[القطاع],$AU45,Projects[[الإدارة ]],$AV45&amp;"")+COUNTIFS(Projects[مستوى الإنجاز],"Frozen",Projects[القطاع],$AU45,Projects[[الإدارة ]],$AV45&amp;"")</f>
        <v/>
      </c>
      <c r="CG45" s="88">
        <f>COUNTIFS(Projects[الربع],"Q1",Projects[القطاع],$AU45,Projects[[الإدارة ]],$AV45&amp;"")</f>
        <v/>
      </c>
      <c r="CH45" s="88">
        <f>COUNTIFS(Projects[الربع],"Q2",Projects[القطاع],$AU45,Projects[[الإدارة ]],$AV45&amp;"")</f>
        <v/>
      </c>
      <c r="CI45" s="88">
        <f>COUNTIFS(Projects[الربع],"Q3",Projects[القطاع],$AU45,Projects[[الإدارة ]],$AV45&amp;"")</f>
        <v/>
      </c>
      <c r="CJ45" s="88">
        <f>COUNTIFS(Projects[الربع],"Q4",Projects[القطاع],$AU45,Projects[[الإدارة ]],$AV45&amp;"")</f>
        <v/>
      </c>
    </row>
    <row r="46">
      <c r="AU46" s="85" t="inlineStr">
        <is>
          <t>الاقتصاد والتنمية الاجتماعية</t>
        </is>
      </c>
      <c r="AV46" s="85" t="inlineStr">
        <is>
          <t>السياسات والإستراتيجيات الاجتماعية</t>
        </is>
      </c>
      <c r="AW46" s="85" t="inlineStr">
        <is>
          <t>الشهر الحالي</t>
        </is>
      </c>
      <c r="AX46" s="85">
        <f t="array" ref="AX46">_xlfn.LET(
_xlpm.results,Strategy[[نتيجة العام ]],
SUMPRODUCT(
--(Strategy[المؤشر]&lt;&gt;"")*
--ISNUMBER(_xlpm.results)*
--(_xlpm.results&lt;&gt;0)*
--(Strategy[القطاع]=($AU46&amp;""))*
--(Strategy[الإدارة]=($AV46&amp;""))
)
)</f>
        <v/>
      </c>
      <c r="AY46" s="85">
        <f>IFERROR(
AVERAGEIFS(
Strategy[[نتيجة العام ]],
Strategy[المؤشر],"&lt;&gt;",
Strategy[[نتيجة العام ]],"&lt;&gt;0",
Strategy[القطاع],$AU46&amp;"",
Strategy[الإدارة],$AV46&amp;""
),
""
)</f>
        <v/>
      </c>
      <c r="AZ46" s="85">
        <f>COUNTIFS(Special[اسم المشروع],"&lt;&gt;",Special[القطاع],$AU46&amp;"",Special[[الإدارة ]],$AV46&amp;"")</f>
        <v/>
      </c>
      <c r="BA46" s="85">
        <f>COUNTIFS(Special[مستوى الإنجاز],"منجز",Special[مشاريع سموه],"نعم",Special[القطاع],$AU46&amp;"",Special[[الإدارة ]],$AV46&amp;"")</f>
        <v/>
      </c>
      <c r="BB46" s="85">
        <f>COUNTIFS(Special[مستوى الإنجاز],"متأخر",Special[مشاريع سموه],"نعم",Special[القطاع],$AU46&amp;"",Special[[الإدارة ]],$AV46&amp;"")</f>
        <v/>
      </c>
      <c r="BC46" s="85">
        <f>COUNTIFS(Special[مستوى الإنجاز],"منجز",Special[مشاريع سموه],"لا",Special[القطاع],$AU46&amp;"",Special[[الإدارة ]],$AV46&amp;"")</f>
        <v/>
      </c>
      <c r="BD46" s="85">
        <f>COUNTIFS(Special[مستوى الإنجاز],"متأخر",Special[مشاريع سموه],"لا",Special[القطاع],$AU46&amp;"",Special[[الإدارة ]],$AV46&amp;"")</f>
        <v/>
      </c>
      <c r="BE46" s="85">
        <f>COUNTIFS(ECSAC[[الموضوع ]],"&lt;&gt;",ECSAC[القطاع],$AU46&amp;"",ECSAC[الإدارة],$AV46&amp;"")</f>
        <v/>
      </c>
      <c r="BF46" s="85">
        <f>COUNTIFS(ECSAC[مستوى الإنجاز],"منجز",ECSAC[القطاع],$AU46&amp;"",ECSAC[الإدارة],$AV46&amp;"")</f>
        <v/>
      </c>
      <c r="BG46" s="85">
        <f>COUNTIFS(ECSAC[مستوى الإنجاز],"متأخر",ECSAC[القطاع],$AU46&amp;"",ECSAC[الإدارة],$AV46&amp;"")</f>
        <v/>
      </c>
      <c r="BH46" s="85">
        <f t="array" ref="BH46">_xlfn.LET(
 _xlpm.topic,IFERROR(Resolutions[الموضوع],""),
 _xlpm.followup,TRIM(SUBSTITUTE(IFERROR(Resolutions[متطلبات المتابعة],""),CHAR(160),"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--(_xlpm.sector=TRIM(SUBSTITUTE($AU46,CHAR(160)," "))),
  --(_xlpm.dept=TRIM(SUBSTITUTE($AV46,CHAR(160)," ")))
 )
)</f>
        <v/>
      </c>
      <c r="BI46" s="85">
        <f t="array" ref="BI46">_xlfn.LET(
 _xlpm.topic,IFERROR(Resolutions[الموضوع],""),
 _xlpm.followup,TRIM(SUBSTITUTE(IFERROR(Resolutions[متطلبات المتابعة],""),CHAR(160)," ")),
 _xlpm.itemStatus,TRIM(SUBSTITUTE(IFERROR(Resolutions[مستوى الإنجاز],""),CHAR(160),"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--(_xlpm.itemStatus="منجز"),
  --(_xlpm.sector=TRIM(SUBSTITUTE($AU46,CHAR(160)," "))),
  --(_xlpm.dept=TRIM(SUBSTITUTE($AV46,CHAR(160)," ")))
 )
)</f>
        <v/>
      </c>
      <c r="BJ46" s="85">
        <f t="array" ref="BJ46">_xlfn.LET(
 _xlpm.topic,IFERROR(Resolutions[الموضوع],""),
 _xlpm.followup,TRIM(SUBSTITUTE(IFERROR(Resolutions[متطلبات المتابعة],""),CHAR(160)," ")),
 _xlpm.itemStatus,TRIM(SUBSTITUTE(IFERROR(Resolutions[مستوى الإنجاز],""),CHAR(160),"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--(_xlpm.itemStatus="متأخر"),
  --(_xlpm.sector=TRIM(SUBSTITUTE($AU46,CHAR(160)," "))),
  --(_xlpm.dept=TRIM(SUBSTITUTE($AV46,CHAR(160)," ")))
 )
)</f>
        <v/>
      </c>
      <c r="BK46" s="85">
        <f>COUNTIFS(Projects[اسم المشروع],"&lt;&gt;",Projects[القطاع],$AU46&amp;"",Projects[[الإدارة ]],$AV46&amp;"")</f>
        <v/>
      </c>
      <c r="BL46" s="85">
        <f>COUNTIFS(Projects[مستوى الإنجاز],"Completed",Projects[القطاع],$AU46&amp;"",Projects[[الإدارة ]],$AV46&amp;"")</f>
        <v/>
      </c>
      <c r="BM46" s="85">
        <f>COUNTIFS(Projects[Late KPI],"Late",Projects[القطاع],$AU46&amp;"",Projects[[الإدارة ]],$AV46&amp;"")</f>
        <v/>
      </c>
      <c r="BN46" s="85">
        <f>COUNTIFS(Legislations[[عنوان التشريع ]],"&lt;&gt;",Legislations[القطاع],$AU46&amp;"",Legislations[الإدارة],$AV46&amp;"")</f>
        <v/>
      </c>
      <c r="BO46" s="85">
        <f>COUNTIFS(Legislations[مؤشرات الأداء],"في الموعد",Legislations[تجاوز الموعد],"&lt;&gt;متأخر",Legislations[القطاع],$AU46&amp;"",Legislations[الإدارة],$AV46&amp;"")</f>
        <v/>
      </c>
      <c r="BP46" s="85">
        <f>COUNTIFS(Legislations[مؤشرات الأداء],"في الموعد",Legislations[تجاوز الموعد],"متأخر",Legislations[القطاع],$AU46&amp;"",Legislations[الإدارة],$AV46&amp;"")</f>
        <v/>
      </c>
      <c r="BQ46" s="85">
        <f>COUNTIFS(Legislations[Late KPI],"متأخر",Legislations[القطاع],$AU46&amp;"",Legislations[الإدارة],$AV46&amp;"")</f>
        <v/>
      </c>
      <c r="BR46" s="85">
        <f t="array" ref="BR46">SUMPRODUCT(IFERROR(--Projects[الموازنة المعتمدة الجديدة],0),--(Projects[القطاع]=$AU46),--(Projects[[الإدارة ]]=$AV46))</f>
        <v/>
      </c>
      <c r="BS46" s="85">
        <f t="array" ref="BS46">SUMPRODUCT(IFERROR(--Projects[المنفق الفعلي],0),--(Projects[القطاع]=$AU46),--(Projects[[الإدارة ]]=$AV46))</f>
        <v/>
      </c>
      <c r="BT46" s="85">
        <f t="array" ref="BT46">SUMPRODUCT(IFERROR(--Projects[المخصص],0),--(Projects[القطاع]=$AU46),--(Projects[[الإدارة ]]=$AV46))</f>
        <v/>
      </c>
      <c r="BU46" s="85">
        <f t="array" ref="BU46">SUMPRODUCT(IFERROR(--Projects[غير المخصص],0),--(Projects[القطاع]=$AU46),--(Projects[[الإدارة ]]=$AV46))</f>
        <v/>
      </c>
      <c r="BV46" s="88">
        <f>COUNTIFS(Special[اسم المشروع],"&lt;&gt;",Special[مشاريع سموه],"نعم",Special[القطاع],$AU46,Special[[الإدارة ]],$AV46&amp;"")</f>
        <v/>
      </c>
      <c r="BW46" s="89">
        <f>COUNTIFS(Special[اسم المشروع],"&lt;&gt;",Special[مشاريع سموه],"لا",Special[القطاع],$AU46,Special[[الإدارة ]],$AV46&amp;"")</f>
        <v/>
      </c>
      <c r="BX46" s="88">
        <f>BV46-BA46-BB46</f>
        <v/>
      </c>
      <c r="BY46" s="88">
        <f>BW46-BC46-BD46</f>
        <v/>
      </c>
      <c r="BZ46" s="88">
        <f>COUNTIFS(ECSAC[[الموضوع ]],"&lt;&gt;",ECSAC[تصنيف الموضوع],"الأجندة السنوية",ECSAC[القطاع],$AU46,ECSAC[الإدارة],$AV46&amp;"")</f>
        <v/>
      </c>
      <c r="CA46" s="88">
        <f>COUNTIFS(ECSAC[[الموضوع ]],"&lt;&gt;",ECSAC[تصنيف الموضوع],"مستجد",ECSAC[القطاع],$AU46,ECSAC[الإدارة],$AV46&amp;"")</f>
        <v/>
      </c>
      <c r="CB46" s="88">
        <f>COUNTIFS(ECSAC[مستوى الإنجاز],"قيد التطوير",ECSAC[القطاع],$AU46,ECSAC[الإدارة],$AV46&amp;"")+COUNTIFS(ECSAC[مستوى الإنجاز],"قيد المراجعة",ECSAC[القطاع],$AU46,ECSAC[الإدارة],$AV46&amp;"")</f>
        <v/>
      </c>
      <c r="CC46" s="88">
        <f>COUNTIFS(ECSAC[مستوى الإنجاز],"جاهز للعرض",ECSAC[القطاع],$AU46,ECSAC[الإدارة],$AV46&amp;"")</f>
        <v/>
      </c>
      <c r="CD46" s="88">
        <f t="array" ref="CD46">_xlfn.LET(
_xlpm.topic,IFERROR(Resolutions[الموضوع],""),
_xlpm.followup,TRIM(SUBSTITUTE(IFERROR(Resolutions[متطلبات المتابعة],""),CHAR(160)," ")),
_xlpm.itemStatus,TRIM(SUBSTITUTE(IFERROR(Resolutions[مستوى الإنجاز],""),CHAR(160)," ")),
_xlpm.sector,TRIM(SUBSTITUTE(IFERROR(Resolutions[القطاع],""),CHAR(160)," ")),
_xlpm.dept,TRIM(SUBSTITUTE(IFERROR(Resolutions[الإدارة],""),CHAR(160)," ")),
SUMPRODUCT(
--(_xlpm.topic&lt;&gt;""),
--(((_xlpm.followup="رسالة رسمية")+(_xlpm.followup="بريد من الوحدة التنظيمية"))&gt;0),
--(((_xlpm.itemStatus="قيد التطوير")+(_xlpm.itemStatus="قيد المراجعة"))&gt;0),
--(_xlpm.sector=TRIM(SUBSTITUTE($AU46,CHAR(160)," "))),
--(_xlpm.dept=TRIM(SUBSTITUTE($AV46,CHAR(160)," ")))
)
)</f>
        <v/>
      </c>
      <c r="CE46" s="88">
        <f>COUNTIFS(Projects[مستوى الإنجاز],"Active",Projects[القطاع],$AU46,Projects[[الإدارة ]],$AV46&amp;"")</f>
        <v/>
      </c>
      <c r="CF46" s="91">
        <f>COUNTIFS(Projects[مستوى الإنجاز],"Cancelled",Projects[القطاع],$AU46,Projects[[الإدارة ]],$AV46&amp;"")+COUNTIFS(Projects[مستوى الإنجاز],"Frozen",Projects[القطاع],$AU46,Projects[[الإدارة ]],$AV46&amp;"")</f>
        <v/>
      </c>
      <c r="CG46" s="88">
        <f>COUNTIFS(Projects[الربع],"Q1",Projects[القطاع],$AU46,Projects[[الإدارة ]],$AV46&amp;"")</f>
        <v/>
      </c>
      <c r="CH46" s="88">
        <f>COUNTIFS(Projects[الربع],"Q2",Projects[القطاع],$AU46,Projects[[الإدارة ]],$AV46&amp;"")</f>
        <v/>
      </c>
      <c r="CI46" s="88">
        <f>COUNTIFS(Projects[الربع],"Q3",Projects[القطاع],$AU46,Projects[[الإدارة ]],$AV46&amp;"")</f>
        <v/>
      </c>
      <c r="CJ46" s="88">
        <f>COUNTIFS(Projects[الربع],"Q4",Projects[القطاع],$AU46,Projects[[الإدارة ]],$AV46&amp;"")</f>
        <v/>
      </c>
    </row>
    <row r="47">
      <c r="AU47" s="85" t="inlineStr">
        <is>
          <t>الاقتصاد والتنمية الاجتماعية</t>
        </is>
      </c>
      <c r="AV47" s="85" t="n"/>
      <c r="AW47" s="85" t="inlineStr">
        <is>
          <t>الشهر الحالي</t>
        </is>
      </c>
      <c r="AX47" s="85">
        <f t="array" ref="AX47">_xlfn.LET(
_xlpm.results,Strategy[[نتيجة العام ]],
SUMPRODUCT(
--(Strategy[المؤشر]&lt;&gt;"")*
--ISNUMBER(_xlpm.results)*
--(_xlpm.results&lt;&gt;0)*
--(Strategy[القطاع]=($AU47&amp;""))*
--(Strategy[الإدارة]=($AV47&amp;""))
)
)</f>
        <v/>
      </c>
      <c r="AY47" s="85">
        <f>IFERROR(
AVERAGEIFS(
Strategy[[نتيجة العام ]],
Strategy[المؤشر],"&lt;&gt;",
Strategy[[نتيجة العام ]],"&lt;&gt;0",
Strategy[القطاع],$AU47&amp;"",
Strategy[الإدارة],$AV47&amp;""
),
""
)</f>
        <v/>
      </c>
      <c r="AZ47" s="85">
        <f>COUNTIFS(Special[اسم المشروع],"&lt;&gt;",Special[القطاع],$AU47&amp;"",Special[[الإدارة ]],$AV47&amp;"")</f>
        <v/>
      </c>
      <c r="BA47" s="85">
        <f>COUNTIFS(Special[مستوى الإنجاز],"منجز",Special[مشاريع سموه],"نعم",Special[القطاع],$AU47&amp;"",Special[[الإدارة ]],$AV47&amp;"")</f>
        <v/>
      </c>
      <c r="BB47" s="85">
        <f>COUNTIFS(Special[مستوى الإنجاز],"متأخر",Special[مشاريع سموه],"نعم",Special[القطاع],$AU47&amp;"",Special[[الإدارة ]],$AV47&amp;"")</f>
        <v/>
      </c>
      <c r="BC47" s="85">
        <f>COUNTIFS(Special[مستوى الإنجاز],"منجز",Special[مشاريع سموه],"لا",Special[القطاع],$AU47&amp;"",Special[[الإدارة ]],$AV47&amp;"")</f>
        <v/>
      </c>
      <c r="BD47" s="85">
        <f>COUNTIFS(Special[مستوى الإنجاز],"متأخر",Special[مشاريع سموه],"لا",Special[القطاع],$AU47&amp;"",Special[[الإدارة ]],$AV47&amp;"")</f>
        <v/>
      </c>
      <c r="BE47" s="85">
        <f>COUNTIFS(ECSAC[[الموضوع ]],"&lt;&gt;",ECSAC[القطاع],$AU47&amp;"",ECSAC[الإدارة],$AV47&amp;"")</f>
        <v/>
      </c>
      <c r="BF47" s="85">
        <f>COUNTIFS(ECSAC[مستوى الإنجاز],"منجز",ECSAC[القطاع],$AU47&amp;"",ECSAC[الإدارة],$AV47&amp;"")</f>
        <v/>
      </c>
      <c r="BG47" s="85">
        <f>COUNTIFS(ECSAC[مستوى الإنجاز],"متأخر",ECSAC[القطاع],$AU47&amp;"",ECSAC[الإدارة],$AV47&amp;"")</f>
        <v/>
      </c>
      <c r="BH47" s="85">
        <f t="array" ref="BH47">_xlfn.LET(
 _xlpm.topic,IFERROR(Resolutions[الموضوع],""),
 _xlpm.followup,TRIM(SUBSTITUTE(IFERROR(Resolutions[متطلبات المتابعة],""),CHAR(160),"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--(_xlpm.sector=TRIM(SUBSTITUTE($AU47,CHAR(160)," "))),
  --(_xlpm.dept=TRIM(SUBSTITUTE($AV47,CHAR(160)," ")))
 )
)</f>
        <v/>
      </c>
      <c r="BI47" s="85">
        <f t="array" ref="BI47">_xlfn.LET(
 _xlpm.topic,IFERROR(Resolutions[الموضوع],""),
 _xlpm.followup,TRIM(SUBSTITUTE(IFERROR(Resolutions[متطلبات المتابعة],""),CHAR(160)," ")),
 _xlpm.itemStatus,TRIM(SUBSTITUTE(IFERROR(Resolutions[مستوى الإنجاز],""),CHAR(160),"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--(_xlpm.itemStatus="منجز"),
  --(_xlpm.sector=TRIM(SUBSTITUTE($AU47,CHAR(160)," "))),
  --(_xlpm.dept=TRIM(SUBSTITUTE($AV47,CHAR(160)," ")))
 )
)</f>
        <v/>
      </c>
      <c r="BJ47" s="85">
        <f t="array" ref="BJ47">_xlfn.LET(
 _xlpm.topic,IFERROR(Resolutions[الموضوع],""),
 _xlpm.followup,TRIM(SUBSTITUTE(IFERROR(Resolutions[متطلبات المتابعة],""),CHAR(160)," ")),
 _xlpm.itemStatus,TRIM(SUBSTITUTE(IFERROR(Resolutions[مستوى الإنجاز],""),CHAR(160),"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--(_xlpm.itemStatus="متأخر"),
  --(_xlpm.sector=TRIM(SUBSTITUTE($AU47,CHAR(160)," "))),
  --(_xlpm.dept=TRIM(SUBSTITUTE($AV47,CHAR(160)," ")))
 )
)</f>
        <v/>
      </c>
      <c r="BK47" s="85">
        <f>COUNTIFS(Projects[اسم المشروع],"&lt;&gt;",Projects[القطاع],$AU47&amp;"",Projects[[الإدارة ]],$AV47&amp;"")</f>
        <v/>
      </c>
      <c r="BL47" s="85">
        <f>COUNTIFS(Projects[مستوى الإنجاز],"Completed",Projects[القطاع],$AU47&amp;"",Projects[[الإدارة ]],$AV47&amp;"")</f>
        <v/>
      </c>
      <c r="BM47" s="85">
        <f>COUNTIFS(Projects[Late KPI],"Late",Projects[القطاع],$AU47&amp;"",Projects[[الإدارة ]],$AV47&amp;"")</f>
        <v/>
      </c>
      <c r="BN47" s="85">
        <f>COUNTIFS(Legislations[[عنوان التشريع ]],"&lt;&gt;",Legislations[القطاع],$AU47&amp;"",Legislations[الإدارة],$AV47&amp;"")</f>
        <v/>
      </c>
      <c r="BO47" s="85">
        <f>COUNTIFS(Legislations[مؤشرات الأداء],"في الموعد",Legislations[تجاوز الموعد],"&lt;&gt;متأخر",Legislations[القطاع],$AU47&amp;"",Legislations[الإدارة],$AV47&amp;"")</f>
        <v/>
      </c>
      <c r="BP47" s="85">
        <f>COUNTIFS(Legislations[مؤشرات الأداء],"في الموعد",Legislations[تجاوز الموعد],"متأخر",Legislations[القطاع],$AU47&amp;"",Legislations[الإدارة],$AV47&amp;"")</f>
        <v/>
      </c>
      <c r="BQ47" s="85">
        <f>COUNTIFS(Legislations[Late KPI],"متأخر",Legislations[القطاع],$AU47&amp;"",Legislations[الإدارة],$AV47&amp;"")</f>
        <v/>
      </c>
      <c r="BR47" s="85">
        <f t="array" ref="BR47">SUMPRODUCT(IFERROR(--Projects[الموازنة المعتمدة الجديدة],0),--(Projects[القطاع]=$AU47),--(Projects[[الإدارة ]]=$AV47))</f>
        <v/>
      </c>
      <c r="BS47" s="85">
        <f t="array" ref="BS47">SUMPRODUCT(IFERROR(--Projects[المنفق الفعلي],0),--(Projects[القطاع]=$AU47),--(Projects[[الإدارة ]]=$AV47))</f>
        <v/>
      </c>
      <c r="BT47" s="85">
        <f t="array" ref="BT47">SUMPRODUCT(IFERROR(--Projects[المخصص],0),--(Projects[القطاع]=$AU47),--(Projects[[الإدارة ]]=$AV47))</f>
        <v/>
      </c>
      <c r="BU47" s="85">
        <f t="array" ref="BU47">SUMPRODUCT(IFERROR(--Projects[غير المخصص],0),--(Projects[القطاع]=$AU47),--(Projects[[الإدارة ]]=$AV47))</f>
        <v/>
      </c>
      <c r="BV47" s="88">
        <f>COUNTIFS(Special[اسم المشروع],"&lt;&gt;",Special[مشاريع سموه],"نعم",Special[القطاع],$AU47,Special[[الإدارة ]],$AV47&amp;"")</f>
        <v/>
      </c>
      <c r="BW47" s="89">
        <f>COUNTIFS(Special[اسم المشروع],"&lt;&gt;",Special[مشاريع سموه],"لا",Special[القطاع],$AU47,Special[[الإدارة ]],$AV47&amp;"")</f>
        <v/>
      </c>
      <c r="BX47" s="88">
        <f>BV47-BA47-BB47</f>
        <v/>
      </c>
      <c r="BY47" s="88">
        <f>BW47-BC47-BD47</f>
        <v/>
      </c>
      <c r="BZ47" s="88">
        <f>COUNTIFS(ECSAC[[الموضوع ]],"&lt;&gt;",ECSAC[تصنيف الموضوع],"الأجندة السنوية",ECSAC[القطاع],$AU47,ECSAC[الإدارة],$AV47&amp;"")</f>
        <v/>
      </c>
      <c r="CA47" s="88">
        <f>COUNTIFS(ECSAC[[الموضوع ]],"&lt;&gt;",ECSAC[تصنيف الموضوع],"مستجد",ECSAC[القطاع],$AU47,ECSAC[الإدارة],$AV47&amp;"")</f>
        <v/>
      </c>
      <c r="CB47" s="88">
        <f>COUNTIFS(ECSAC[مستوى الإنجاز],"قيد التطوير",ECSAC[القطاع],$AU47,ECSAC[الإدارة],$AV47&amp;"")+COUNTIFS(ECSAC[مستوى الإنجاز],"قيد المراجعة",ECSAC[القطاع],$AU47,ECSAC[الإدارة],$AV47&amp;"")</f>
        <v/>
      </c>
      <c r="CC47" s="88">
        <f>COUNTIFS(ECSAC[مستوى الإنجاز],"جاهز للعرض",ECSAC[القطاع],$AU47,ECSAC[الإدارة],$AV47&amp;"")</f>
        <v/>
      </c>
      <c r="CD47" s="88">
        <f t="array" ref="CD47">_xlfn.LET(
_xlpm.topic,IFERROR(Resolutions[الموضوع],""),
_xlpm.followup,TRIM(SUBSTITUTE(IFERROR(Resolutions[متطلبات المتابعة],""),CHAR(160)," ")),
_xlpm.itemStatus,TRIM(SUBSTITUTE(IFERROR(Resolutions[مستوى الإنجاز],""),CHAR(160)," ")),
_xlpm.sector,TRIM(SUBSTITUTE(IFERROR(Resolutions[القطاع],""),CHAR(160)," ")),
_xlpm.dept,TRIM(SUBSTITUTE(IFERROR(Resolutions[الإدارة],""),CHAR(160)," ")),
SUMPRODUCT(
--(_xlpm.topic&lt;&gt;""),
--(((_xlpm.followup="رسالة رسمية")+(_xlpm.followup="بريد من الوحدة التنظيمية"))&gt;0),
--(((_xlpm.itemStatus="قيد التطوير")+(_xlpm.itemStatus="قيد المراجعة"))&gt;0),
--(_xlpm.sector=TRIM(SUBSTITUTE($AU47,CHAR(160)," "))),
--(_xlpm.dept=TRIM(SUBSTITUTE($AV47,CHAR(160)," ")))
)
)</f>
        <v/>
      </c>
      <c r="CE47" s="88">
        <f>COUNTIFS(Projects[مستوى الإنجاز],"Active",Projects[القطاع],$AU47,Projects[[الإدارة ]],$AV47&amp;"")</f>
        <v/>
      </c>
      <c r="CF47" s="91">
        <f>COUNTIFS(Projects[مستوى الإنجاز],"Cancelled",Projects[القطاع],$AU47,Projects[[الإدارة ]],$AV47&amp;"")+COUNTIFS(Projects[مستوى الإنجاز],"Frozen",Projects[القطاع],$AU47,Projects[[الإدارة ]],$AV47&amp;"")</f>
        <v/>
      </c>
      <c r="CG47" s="88">
        <f>COUNTIFS(Projects[الربع],"Q1",Projects[القطاع],$AU47,Projects[[الإدارة ]],$AV47&amp;"")</f>
        <v/>
      </c>
      <c r="CH47" s="88">
        <f>COUNTIFS(Projects[الربع],"Q2",Projects[القطاع],$AU47,Projects[[الإدارة ]],$AV47&amp;"")</f>
        <v/>
      </c>
      <c r="CI47" s="88">
        <f>COUNTIFS(Projects[الربع],"Q3",Projects[القطاع],$AU47,Projects[[الإدارة ]],$AV47&amp;"")</f>
        <v/>
      </c>
      <c r="CJ47" s="88">
        <f>COUNTIFS(Projects[الربع],"Q4",Projects[القطاع],$AU47,Projects[[الإدارة ]],$AV47&amp;"")</f>
        <v/>
      </c>
    </row>
    <row r="48">
      <c r="AU48" s="85" t="inlineStr">
        <is>
          <t>التميز والخدمات الحكومية</t>
        </is>
      </c>
      <c r="AV48" s="85" t="inlineStr">
        <is>
          <t>التميز والخدمات الحكومية</t>
        </is>
      </c>
      <c r="AW48" s="85" t="inlineStr">
        <is>
          <t>الشهر الحالي</t>
        </is>
      </c>
      <c r="AX48" s="85">
        <f t="array" ref="AX48">_xlfn.LET(
_xlpm.results,Strategy[[نتيجة العام ]],
SUMPRODUCT(
--(Strategy[المؤشر]&lt;&gt;"")*
--ISNUMBER(_xlpm.results)*
--(_xlpm.results&lt;&gt;0)*
--(Strategy[القطاع]=($AU48&amp;""))*
--(Strategy[الإدارة]=($AV48&amp;""))
)
)</f>
        <v/>
      </c>
      <c r="AY48" s="85">
        <f>IFERROR(
AVERAGEIFS(
Strategy[[نتيجة العام ]],
Strategy[المؤشر],"&lt;&gt;",
Strategy[[نتيجة العام ]],"&lt;&gt;0",
Strategy[القطاع],$AU48&amp;"",
Strategy[الإدارة],$AV48&amp;""
),
""
)</f>
        <v/>
      </c>
      <c r="AZ48" s="85">
        <f>COUNTIFS(Special[اسم المشروع],"&lt;&gt;",Special[القطاع],$AU48&amp;"",Special[[الإدارة ]],$AV48&amp;"")</f>
        <v/>
      </c>
      <c r="BA48" s="85">
        <f>COUNTIFS(Special[مستوى الإنجاز],"منجز",Special[مشاريع سموه],"نعم",Special[القطاع],$AU48&amp;"",Special[[الإدارة ]],$AV48&amp;"")</f>
        <v/>
      </c>
      <c r="BB48" s="85">
        <f>COUNTIFS(Special[مستوى الإنجاز],"متأخر",Special[مشاريع سموه],"نعم",Special[القطاع],$AU48&amp;"",Special[[الإدارة ]],$AV48&amp;"")</f>
        <v/>
      </c>
      <c r="BC48" s="85">
        <f>COUNTIFS(Special[مستوى الإنجاز],"منجز",Special[مشاريع سموه],"لا",Special[القطاع],$AU48&amp;"",Special[[الإدارة ]],$AV48&amp;"")</f>
        <v/>
      </c>
      <c r="BD48" s="85">
        <f>COUNTIFS(Special[مستوى الإنجاز],"متأخر",Special[مشاريع سموه],"لا",Special[القطاع],$AU48&amp;"",Special[[الإدارة ]],$AV48&amp;"")</f>
        <v/>
      </c>
      <c r="BE48" s="85">
        <f>COUNTIFS(ECSAC[[الموضوع ]],"&lt;&gt;",ECSAC[القطاع],$AU48&amp;"",ECSAC[الإدارة],$AV48&amp;"")</f>
        <v/>
      </c>
      <c r="BF48" s="85">
        <f>COUNTIFS(ECSAC[مستوى الإنجاز],"منجز",ECSAC[القطاع],$AU48&amp;"",ECSAC[الإدارة],$AV48&amp;"")</f>
        <v/>
      </c>
      <c r="BG48" s="85">
        <f>COUNTIFS(ECSAC[مستوى الإنجاز],"متأخر",ECSAC[القطاع],$AU48&amp;"",ECSAC[الإدارة],$AV48&amp;"")</f>
        <v/>
      </c>
      <c r="BH48" s="85">
        <f t="array" ref="BH48">_xlfn.LET(
 _xlpm.topic,IFERROR(Resolutions[الموضوع],""),
 _xlpm.followup,TRIM(SUBSTITUTE(IFERROR(Resolutions[متطلبات المتابعة],""),CHAR(160),"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--(_xlpm.sector=TRIM(SUBSTITUTE($AU48,CHAR(160)," "))),
  --(_xlpm.dept=TRIM(SUBSTITUTE($AV48,CHAR(160)," ")))
 )
)</f>
        <v/>
      </c>
      <c r="BI48" s="85">
        <f t="array" ref="BI48">_xlfn.LET(
 _xlpm.topic,IFERROR(Resolutions[الموضوع],""),
 _xlpm.followup,TRIM(SUBSTITUTE(IFERROR(Resolutions[متطلبات المتابعة],""),CHAR(160)," ")),
 _xlpm.itemStatus,TRIM(SUBSTITUTE(IFERROR(Resolutions[مستوى الإنجاز],""),CHAR(160),"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--(_xlpm.itemStatus="منجز"),
  --(_xlpm.sector=TRIM(SUBSTITUTE($AU48,CHAR(160)," "))),
  --(_xlpm.dept=TRIM(SUBSTITUTE($AV48,CHAR(160)," ")))
 )
)</f>
        <v/>
      </c>
      <c r="BJ48" s="85">
        <f t="array" ref="BJ48">_xlfn.LET(
 _xlpm.topic,IFERROR(Resolutions[الموضوع],""),
 _xlpm.followup,TRIM(SUBSTITUTE(IFERROR(Resolutions[متطلبات المتابعة],""),CHAR(160)," ")),
 _xlpm.itemStatus,TRIM(SUBSTITUTE(IFERROR(Resolutions[مستوى الإنجاز],""),CHAR(160),"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--(_xlpm.itemStatus="متأخر"),
  --(_xlpm.sector=TRIM(SUBSTITUTE($AU48,CHAR(160)," "))),
  --(_xlpm.dept=TRIM(SUBSTITUTE($AV48,CHAR(160)," ")))
 )
)</f>
        <v/>
      </c>
      <c r="BK48" s="85">
        <f>COUNTIFS(Projects[اسم المشروع],"&lt;&gt;",Projects[القطاع],$AU48&amp;"",Projects[[الإدارة ]],$AV48&amp;"")</f>
        <v/>
      </c>
      <c r="BL48" s="85">
        <f>COUNTIFS(Projects[مستوى الإنجاز],"Completed",Projects[القطاع],$AU48&amp;"",Projects[[الإدارة ]],$AV48&amp;"")</f>
        <v/>
      </c>
      <c r="BM48" s="85">
        <f>COUNTIFS(Projects[Late KPI],"Late",Projects[القطاع],$AU48&amp;"",Projects[[الإدارة ]],$AV48&amp;"")</f>
        <v/>
      </c>
      <c r="BN48" s="85">
        <f>COUNTIFS(Legislations[[عنوان التشريع ]],"&lt;&gt;",Legislations[القطاع],$AU48&amp;"",Legislations[الإدارة],$AV48&amp;"")</f>
        <v/>
      </c>
      <c r="BO48" s="85">
        <f>COUNTIFS(Legislations[مؤشرات الأداء],"في الموعد",Legislations[تجاوز الموعد],"&lt;&gt;متأخر",Legislations[القطاع],$AU48&amp;"",Legislations[الإدارة],$AV48&amp;"")</f>
        <v/>
      </c>
      <c r="BP48" s="85">
        <f>COUNTIFS(Legislations[مؤشرات الأداء],"في الموعد",Legislations[تجاوز الموعد],"متأخر",Legislations[القطاع],$AU48&amp;"",Legislations[الإدارة],$AV48&amp;"")</f>
        <v/>
      </c>
      <c r="BQ48" s="85">
        <f>COUNTIFS(Legislations[Late KPI],"متأخر",Legislations[القطاع],$AU48&amp;"",Legislations[الإدارة],$AV48&amp;"")</f>
        <v/>
      </c>
      <c r="BR48" s="85">
        <f t="array" ref="BR48">SUMPRODUCT(IFERROR(--Projects[الموازنة المعتمدة الجديدة],0),--(Projects[القطاع]=$AU48),--(Projects[[الإدارة ]]=$AV48))</f>
        <v/>
      </c>
      <c r="BS48" s="85">
        <f t="array" ref="BS48">SUMPRODUCT(IFERROR(--Projects[المنفق الفعلي],0),--(Projects[القطاع]=$AU48),--(Projects[[الإدارة ]]=$AV48))</f>
        <v/>
      </c>
      <c r="BT48" s="85">
        <f t="array" ref="BT48">SUMPRODUCT(IFERROR(--Projects[المخصص],0),--(Projects[القطاع]=$AU48),--(Projects[[الإدارة ]]=$AV48))</f>
        <v/>
      </c>
      <c r="BU48" s="85">
        <f t="array" ref="BU48">SUMPRODUCT(IFERROR(--Projects[غير المخصص],0),--(Projects[القطاع]=$AU48),--(Projects[[الإدارة ]]=$AV48))</f>
        <v/>
      </c>
      <c r="BV48" s="88">
        <f>COUNTIFS(Special[اسم المشروع],"&lt;&gt;",Special[مشاريع سموه],"نعم",Special[القطاع],$AU48,Special[[الإدارة ]],$AV48&amp;"")</f>
        <v/>
      </c>
      <c r="BW48" s="89">
        <f>COUNTIFS(Special[اسم المشروع],"&lt;&gt;",Special[مشاريع سموه],"لا",Special[القطاع],$AU48,Special[[الإدارة ]],$AV48&amp;"")</f>
        <v/>
      </c>
      <c r="BX48" s="88">
        <f>BV48-BA48-BB48</f>
        <v/>
      </c>
      <c r="BY48" s="88">
        <f>BW48-BC48-BD48</f>
        <v/>
      </c>
      <c r="BZ48" s="88">
        <f>COUNTIFS(ECSAC[[الموضوع ]],"&lt;&gt;",ECSAC[تصنيف الموضوع],"الأجندة السنوية",ECSAC[القطاع],$AU48,ECSAC[الإدارة],$AV48&amp;"")</f>
        <v/>
      </c>
      <c r="CA48" s="88">
        <f>COUNTIFS(ECSAC[[الموضوع ]],"&lt;&gt;",ECSAC[تصنيف الموضوع],"مستجد",ECSAC[القطاع],$AU48,ECSAC[الإدارة],$AV48&amp;"")</f>
        <v/>
      </c>
      <c r="CB48" s="88">
        <f>COUNTIFS(ECSAC[مستوى الإنجاز],"قيد التطوير",ECSAC[القطاع],$AU48,ECSAC[الإدارة],$AV48&amp;"")+COUNTIFS(ECSAC[مستوى الإنجاز],"قيد المراجعة",ECSAC[القطاع],$AU48,ECSAC[الإدارة],$AV48&amp;"")</f>
        <v/>
      </c>
      <c r="CC48" s="88">
        <f>COUNTIFS(ECSAC[مستوى الإنجاز],"جاهز للعرض",ECSAC[القطاع],$AU48,ECSAC[الإدارة],$AV48&amp;"")</f>
        <v/>
      </c>
      <c r="CD48" s="88">
        <f t="array" ref="CD48">_xlfn.LET(
_xlpm.topic,IFERROR(Resolutions[الموضوع],""),
_xlpm.followup,TRIM(SUBSTITUTE(IFERROR(Resolutions[متطلبات المتابعة],""),CHAR(160)," ")),
_xlpm.itemStatus,TRIM(SUBSTITUTE(IFERROR(Resolutions[مستوى الإنجاز],""),CHAR(160)," ")),
_xlpm.sector,TRIM(SUBSTITUTE(IFERROR(Resolutions[القطاع],""),CHAR(160)," ")),
_xlpm.dept,TRIM(SUBSTITUTE(IFERROR(Resolutions[الإدارة],""),CHAR(160)," ")),
SUMPRODUCT(
--(_xlpm.topic&lt;&gt;""),
--(((_xlpm.followup="رسالة رسمية")+(_xlpm.followup="بريد من الوحدة التنظيمية"))&gt;0),
--(((_xlpm.itemStatus="قيد التطوير")+(_xlpm.itemStatus="قيد المراجعة"))&gt;0),
--(_xlpm.sector=TRIM(SUBSTITUTE($AU48,CHAR(160)," "))),
--(_xlpm.dept=TRIM(SUBSTITUTE($AV48,CHAR(160)," ")))
)
)</f>
        <v/>
      </c>
      <c r="CE48" s="88">
        <f>COUNTIFS(Projects[مستوى الإنجاز],"Active",Projects[القطاع],$AU48,Projects[[الإدارة ]],$AV48&amp;"")</f>
        <v/>
      </c>
      <c r="CF48" s="91">
        <f>COUNTIFS(Projects[مستوى الإنجاز],"Cancelled",Projects[القطاع],$AU48,Projects[[الإدارة ]],$AV48&amp;"")+COUNTIFS(Projects[مستوى الإنجاز],"Frozen",Projects[القطاع],$AU48,Projects[[الإدارة ]],$AV48&amp;"")</f>
        <v/>
      </c>
      <c r="CG48" s="88">
        <f>COUNTIFS(Projects[الربع],"Q1",Projects[القطاع],$AU48,Projects[[الإدارة ]],$AV48&amp;"")</f>
        <v/>
      </c>
      <c r="CH48" s="88">
        <f>COUNTIFS(Projects[الربع],"Q2",Projects[القطاع],$AU48,Projects[[الإدارة ]],$AV48&amp;"")</f>
        <v/>
      </c>
      <c r="CI48" s="88">
        <f>COUNTIFS(Projects[الربع],"Q3",Projects[القطاع],$AU48,Projects[[الإدارة ]],$AV48&amp;"")</f>
        <v/>
      </c>
      <c r="CJ48" s="88">
        <f>COUNTIFS(Projects[الربع],"Q4",Projects[القطاع],$AU48,Projects[[الإدارة ]],$AV48&amp;"")</f>
        <v/>
      </c>
    </row>
    <row r="49">
      <c r="AU49" s="85" t="inlineStr">
        <is>
          <t>التميز والخدمات الحكومية</t>
        </is>
      </c>
      <c r="AV49" s="85" t="inlineStr">
        <is>
          <t>التقييم والدراسات</t>
        </is>
      </c>
      <c r="AW49" s="85" t="inlineStr">
        <is>
          <t>الشهر الحالي</t>
        </is>
      </c>
      <c r="AX49" s="85">
        <f t="array" ref="AX49">_xlfn.LET(
_xlpm.results,Strategy[[نتيجة العام ]],
SUMPRODUCT(
--(Strategy[المؤشر]&lt;&gt;"")*
--ISNUMBER(_xlpm.results)*
--(_xlpm.results&lt;&gt;0)*
--(Strategy[القطاع]=($AU49&amp;""))*
--(Strategy[الإدارة]=($AV49&amp;""))
)
)</f>
        <v/>
      </c>
      <c r="AY49" s="85">
        <f>IFERROR(
AVERAGEIFS(
Strategy[[نتيجة العام ]],
Strategy[المؤشر],"&lt;&gt;",
Strategy[[نتيجة العام ]],"&lt;&gt;0",
Strategy[القطاع],$AU49&amp;"",
Strategy[الإدارة],$AV49&amp;""
),
""
)</f>
        <v/>
      </c>
      <c r="AZ49" s="85">
        <f>COUNTIFS(Special[اسم المشروع],"&lt;&gt;",Special[القطاع],$AU49&amp;"",Special[[الإدارة ]],$AV49&amp;"")</f>
        <v/>
      </c>
      <c r="BA49" s="85">
        <f>COUNTIFS(Special[مستوى الإنجاز],"منجز",Special[مشاريع سموه],"نعم",Special[القطاع],$AU49&amp;"",Special[[الإدارة ]],$AV49&amp;"")</f>
        <v/>
      </c>
      <c r="BB49" s="85">
        <f>COUNTIFS(Special[مستوى الإنجاز],"متأخر",Special[مشاريع سموه],"نعم",Special[القطاع],$AU49&amp;"",Special[[الإدارة ]],$AV49&amp;"")</f>
        <v/>
      </c>
      <c r="BC49" s="85">
        <f>COUNTIFS(Special[مستوى الإنجاز],"منجز",Special[مشاريع سموه],"لا",Special[القطاع],$AU49&amp;"",Special[[الإدارة ]],$AV49&amp;"")</f>
        <v/>
      </c>
      <c r="BD49" s="85">
        <f>COUNTIFS(Special[مستوى الإنجاز],"متأخر",Special[مشاريع سموه],"لا",Special[القطاع],$AU49&amp;"",Special[[الإدارة ]],$AV49&amp;"")</f>
        <v/>
      </c>
      <c r="BE49" s="85">
        <f>COUNTIFS(ECSAC[[الموضوع ]],"&lt;&gt;",ECSAC[القطاع],$AU49&amp;"",ECSAC[الإدارة],$AV49&amp;"")</f>
        <v/>
      </c>
      <c r="BF49" s="85">
        <f>COUNTIFS(ECSAC[مستوى الإنجاز],"منجز",ECSAC[القطاع],$AU49&amp;"",ECSAC[الإدارة],$AV49&amp;"")</f>
        <v/>
      </c>
      <c r="BG49" s="85">
        <f>COUNTIFS(ECSAC[مستوى الإنجاز],"متأخر",ECSAC[القطاع],$AU49&amp;"",ECSAC[الإدارة],$AV49&amp;"")</f>
        <v/>
      </c>
      <c r="BH49" s="85">
        <f t="array" ref="BH49">_xlfn.LET(
 _xlpm.topic,IFERROR(Resolutions[الموضوع],""),
 _xlpm.followup,TRIM(SUBSTITUTE(IFERROR(Resolutions[متطلبات المتابعة],""),CHAR(160),"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--(_xlpm.sector=TRIM(SUBSTITUTE($AU49,CHAR(160)," "))),
  --(_xlpm.dept=TRIM(SUBSTITUTE($AV49,CHAR(160)," ")))
 )
)</f>
        <v/>
      </c>
      <c r="BI49" s="85">
        <f t="array" ref="BI49">_xlfn.LET(
 _xlpm.topic,IFERROR(Resolutions[الموضوع],""),
 _xlpm.followup,TRIM(SUBSTITUTE(IFERROR(Resolutions[متطلبات المتابعة],""),CHAR(160)," ")),
 _xlpm.itemStatus,TRIM(SUBSTITUTE(IFERROR(Resolutions[مستوى الإنجاز],""),CHAR(160),"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--(_xlpm.itemStatus="منجز"),
  --(_xlpm.sector=TRIM(SUBSTITUTE($AU49,CHAR(160)," "))),
  --(_xlpm.dept=TRIM(SUBSTITUTE($AV49,CHAR(160)," ")))
 )
)</f>
        <v/>
      </c>
      <c r="BJ49" s="85">
        <f t="array" ref="BJ49">_xlfn.LET(
 _xlpm.topic,IFERROR(Resolutions[الموضوع],""),
 _xlpm.followup,TRIM(SUBSTITUTE(IFERROR(Resolutions[متطلبات المتابعة],""),CHAR(160)," ")),
 _xlpm.itemStatus,TRIM(SUBSTITUTE(IFERROR(Resolutions[مستوى الإنجاز],""),CHAR(160),"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--(_xlpm.itemStatus="متأخر"),
  --(_xlpm.sector=TRIM(SUBSTITUTE($AU49,CHAR(160)," "))),
  --(_xlpm.dept=TRIM(SUBSTITUTE($AV49,CHAR(160)," ")))
 )
)</f>
        <v/>
      </c>
      <c r="BK49" s="85">
        <f>COUNTIFS(Projects[اسم المشروع],"&lt;&gt;",Projects[القطاع],$AU49&amp;"",Projects[[الإدارة ]],$AV49&amp;"")</f>
        <v/>
      </c>
      <c r="BL49" s="85">
        <f>COUNTIFS(Projects[مستوى الإنجاز],"Completed",Projects[القطاع],$AU49&amp;"",Projects[[الإدارة ]],$AV49&amp;"")</f>
        <v/>
      </c>
      <c r="BM49" s="85">
        <f>COUNTIFS(Projects[Late KPI],"Late",Projects[القطاع],$AU49&amp;"",Projects[[الإدارة ]],$AV49&amp;"")</f>
        <v/>
      </c>
      <c r="BN49" s="85">
        <f>COUNTIFS(Legislations[[عنوان التشريع ]],"&lt;&gt;",Legislations[القطاع],$AU49&amp;"",Legislations[الإدارة],$AV49&amp;"")</f>
        <v/>
      </c>
      <c r="BO49" s="85">
        <f>COUNTIFS(Legislations[مؤشرات الأداء],"في الموعد",Legislations[تجاوز الموعد],"&lt;&gt;متأخر",Legislations[القطاع],$AU49&amp;"",Legislations[الإدارة],$AV49&amp;"")</f>
        <v/>
      </c>
      <c r="BP49" s="85">
        <f>COUNTIFS(Legislations[مؤشرات الأداء],"في الموعد",Legislations[تجاوز الموعد],"متأخر",Legislations[القطاع],$AU49&amp;"",Legislations[الإدارة],$AV49&amp;"")</f>
        <v/>
      </c>
      <c r="BQ49" s="85">
        <f>COUNTIFS(Legislations[Late KPI],"متأخر",Legislations[القطاع],$AU49&amp;"",Legislations[الإدارة],$AV49&amp;"")</f>
        <v/>
      </c>
      <c r="BR49" s="85">
        <f t="array" ref="BR49">SUMPRODUCT(IFERROR(--Projects[الموازنة المعتمدة الجديدة],0),--(Projects[القطاع]=$AU49),--(Projects[[الإدارة ]]=$AV49))</f>
        <v/>
      </c>
      <c r="BS49" s="85">
        <f t="array" ref="BS49">SUMPRODUCT(IFERROR(--Projects[المنفق الفعلي],0),--(Projects[القطاع]=$AU49),--(Projects[[الإدارة ]]=$AV49))</f>
        <v/>
      </c>
      <c r="BT49" s="85">
        <f t="array" ref="BT49">SUMPRODUCT(IFERROR(--Projects[المخصص],0),--(Projects[القطاع]=$AU49),--(Projects[[الإدارة ]]=$AV49))</f>
        <v/>
      </c>
      <c r="BU49" s="85">
        <f t="array" ref="BU49">SUMPRODUCT(IFERROR(--Projects[غير المخصص],0),--(Projects[القطاع]=$AU49),--(Projects[[الإدارة ]]=$AV49))</f>
        <v/>
      </c>
      <c r="BV49" s="88">
        <f>COUNTIFS(Special[اسم المشروع],"&lt;&gt;",Special[مشاريع سموه],"نعم",Special[القطاع],$AU49,Special[[الإدارة ]],$AV49&amp;"")</f>
        <v/>
      </c>
      <c r="BW49" s="89">
        <f>COUNTIFS(Special[اسم المشروع],"&lt;&gt;",Special[مشاريع سموه],"لا",Special[القطاع],$AU49,Special[[الإدارة ]],$AV49&amp;"")</f>
        <v/>
      </c>
      <c r="BX49" s="88">
        <f>BV49-BA49-BB49</f>
        <v/>
      </c>
      <c r="BY49" s="88">
        <f>BW49-BC49-BD49</f>
        <v/>
      </c>
      <c r="BZ49" s="88">
        <f>COUNTIFS(ECSAC[[الموضوع ]],"&lt;&gt;",ECSAC[تصنيف الموضوع],"الأجندة السنوية",ECSAC[القطاع],$AU49,ECSAC[الإدارة],$AV49&amp;"")</f>
        <v/>
      </c>
      <c r="CA49" s="88">
        <f>COUNTIFS(ECSAC[[الموضوع ]],"&lt;&gt;",ECSAC[تصنيف الموضوع],"مستجد",ECSAC[القطاع],$AU49,ECSAC[الإدارة],$AV49&amp;"")</f>
        <v/>
      </c>
      <c r="CB49" s="88">
        <f>COUNTIFS(ECSAC[مستوى الإنجاز],"قيد التطوير",ECSAC[القطاع],$AU49,ECSAC[الإدارة],$AV49&amp;"")+COUNTIFS(ECSAC[مستوى الإنجاز],"قيد المراجعة",ECSAC[القطاع],$AU49,ECSAC[الإدارة],$AV49&amp;"")</f>
        <v/>
      </c>
      <c r="CC49" s="88">
        <f>COUNTIFS(ECSAC[مستوى الإنجاز],"جاهز للعرض",ECSAC[القطاع],$AU49,ECSAC[الإدارة],$AV49&amp;"")</f>
        <v/>
      </c>
      <c r="CD49" s="88">
        <f t="array" ref="CD49">_xlfn.LET(
_xlpm.topic,IFERROR(Resolutions[الموضوع],""),
_xlpm.followup,TRIM(SUBSTITUTE(IFERROR(Resolutions[متطلبات المتابعة],""),CHAR(160)," ")),
_xlpm.itemStatus,TRIM(SUBSTITUTE(IFERROR(Resolutions[مستوى الإنجاز],""),CHAR(160)," ")),
_xlpm.sector,TRIM(SUBSTITUTE(IFERROR(Resolutions[القطاع],""),CHAR(160)," ")),
_xlpm.dept,TRIM(SUBSTITUTE(IFERROR(Resolutions[الإدارة],""),CHAR(160)," ")),
SUMPRODUCT(
--(_xlpm.topic&lt;&gt;""),
--(((_xlpm.followup="رسالة رسمية")+(_xlpm.followup="بريد من الوحدة التنظيمية"))&gt;0),
--(((_xlpm.itemStatus="قيد التطوير")+(_xlpm.itemStatus="قيد المراجعة"))&gt;0),
--(_xlpm.sector=TRIM(SUBSTITUTE($AU49,CHAR(160)," "))),
--(_xlpm.dept=TRIM(SUBSTITUTE($AV49,CHAR(160)," ")))
)
)</f>
        <v/>
      </c>
      <c r="CE49" s="88">
        <f>COUNTIFS(Projects[مستوى الإنجاز],"Active",Projects[القطاع],$AU49,Projects[[الإدارة ]],$AV49&amp;"")</f>
        <v/>
      </c>
      <c r="CF49" s="91">
        <f>COUNTIFS(Projects[مستوى الإنجاز],"Cancelled",Projects[القطاع],$AU49,Projects[[الإدارة ]],$AV49&amp;"")+COUNTIFS(Projects[مستوى الإنجاز],"Frozen",Projects[القطاع],$AU49,Projects[[الإدارة ]],$AV49&amp;"")</f>
        <v/>
      </c>
      <c r="CG49" s="88">
        <f>COUNTIFS(Projects[الربع],"Q1",Projects[القطاع],$AU49,Projects[[الإدارة ]],$AV49&amp;"")</f>
        <v/>
      </c>
      <c r="CH49" s="88">
        <f>COUNTIFS(Projects[الربع],"Q2",Projects[القطاع],$AU49,Projects[[الإدارة ]],$AV49&amp;"")</f>
        <v/>
      </c>
      <c r="CI49" s="88">
        <f>COUNTIFS(Projects[الربع],"Q3",Projects[القطاع],$AU49,Projects[[الإدارة ]],$AV49&amp;"")</f>
        <v/>
      </c>
      <c r="CJ49" s="88">
        <f>COUNTIFS(Projects[الربع],"Q4",Projects[القطاع],$AU49,Projects[[الإدارة ]],$AV49&amp;"")</f>
        <v/>
      </c>
    </row>
    <row r="50">
      <c r="AU50" s="85" t="inlineStr">
        <is>
          <t>التميز والخدمات الحكومية</t>
        </is>
      </c>
      <c r="AV50" s="85" t="n"/>
      <c r="AW50" s="85" t="inlineStr">
        <is>
          <t>الشهر الحالي</t>
        </is>
      </c>
      <c r="AX50" s="85">
        <f t="array" ref="AX50">_xlfn.LET(
_xlpm.results,Strategy[[نتيجة العام ]],
SUMPRODUCT(
--(Strategy[المؤشر]&lt;&gt;"")*
--ISNUMBER(_xlpm.results)*
--(_xlpm.results&lt;&gt;0)*
--(Strategy[القطاع]=($AU50&amp;""))*
--(Strategy[الإدارة]=($AV50&amp;""))
)
)</f>
        <v/>
      </c>
      <c r="AY50" s="85">
        <f>IFERROR(
AVERAGEIFS(
Strategy[[نتيجة العام ]],
Strategy[المؤشر],"&lt;&gt;",
Strategy[[نتيجة العام ]],"&lt;&gt;0",
Strategy[القطاع],$AU50&amp;"",
Strategy[الإدارة],$AV50&amp;""
),
""
)</f>
        <v/>
      </c>
      <c r="AZ50" s="85">
        <f>COUNTIFS(Special[اسم المشروع],"&lt;&gt;",Special[القطاع],$AU50&amp;"",Special[[الإدارة ]],$AV50&amp;"")</f>
        <v/>
      </c>
      <c r="BA50" s="85">
        <f>COUNTIFS(Special[مستوى الإنجاز],"منجز",Special[مشاريع سموه],"نعم",Special[القطاع],$AU50&amp;"",Special[[الإدارة ]],$AV50&amp;"")</f>
        <v/>
      </c>
      <c r="BB50" s="85">
        <f>COUNTIFS(Special[مستوى الإنجاز],"متأخر",Special[مشاريع سموه],"نعم",Special[القطاع],$AU50&amp;"",Special[[الإدارة ]],$AV50&amp;"")</f>
        <v/>
      </c>
      <c r="BC50" s="85">
        <f>COUNTIFS(Special[مستوى الإنجاز],"منجز",Special[مشاريع سموه],"لا",Special[القطاع],$AU50&amp;"",Special[[الإدارة ]],$AV50&amp;"")</f>
        <v/>
      </c>
      <c r="BD50" s="85">
        <f>COUNTIFS(Special[مستوى الإنجاز],"متأخر",Special[مشاريع سموه],"لا",Special[القطاع],$AU50&amp;"",Special[[الإدارة ]],$AV50&amp;"")</f>
        <v/>
      </c>
      <c r="BE50" s="85">
        <f>COUNTIFS(ECSAC[[الموضوع ]],"&lt;&gt;",ECSAC[القطاع],$AU50&amp;"",ECSAC[الإدارة],$AV50&amp;"")</f>
        <v/>
      </c>
      <c r="BF50" s="85">
        <f>COUNTIFS(ECSAC[مستوى الإنجاز],"منجز",ECSAC[القطاع],$AU50&amp;"",ECSAC[الإدارة],$AV50&amp;"")</f>
        <v/>
      </c>
      <c r="BG50" s="85">
        <f>COUNTIFS(ECSAC[مستوى الإنجاز],"متأخر",ECSAC[القطاع],$AU50&amp;"",ECSAC[الإدارة],$AV50&amp;"")</f>
        <v/>
      </c>
      <c r="BH50" s="85">
        <f t="array" ref="BH50">_xlfn.LET(
 _xlpm.topic,IFERROR(Resolutions[الموضوع],""),
 _xlpm.followup,TRIM(SUBSTITUTE(IFERROR(Resolutions[متطلبات المتابعة],""),CHAR(160),"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--(_xlpm.sector=TRIM(SUBSTITUTE($AU50,CHAR(160)," "))),
  --(_xlpm.dept=TRIM(SUBSTITUTE($AV50,CHAR(160)," ")))
 )
)</f>
        <v/>
      </c>
      <c r="BI50" s="85">
        <f t="array" ref="BI50">_xlfn.LET(
 _xlpm.topic,IFERROR(Resolutions[الموضوع],""),
 _xlpm.followup,TRIM(SUBSTITUTE(IFERROR(Resolutions[متطلبات المتابعة],""),CHAR(160)," ")),
 _xlpm.itemStatus,TRIM(SUBSTITUTE(IFERROR(Resolutions[مستوى الإنجاز],""),CHAR(160),"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--(_xlpm.itemStatus="منجز"),
  --(_xlpm.sector=TRIM(SUBSTITUTE($AU50,CHAR(160)," "))),
  --(_xlpm.dept=TRIM(SUBSTITUTE($AV50,CHAR(160)," ")))
 )
)</f>
        <v/>
      </c>
      <c r="BJ50" s="85">
        <f t="array" ref="BJ50">_xlfn.LET(
 _xlpm.topic,IFERROR(Resolutions[الموضوع],""),
 _xlpm.followup,TRIM(SUBSTITUTE(IFERROR(Resolutions[متطلبات المتابعة],""),CHAR(160)," ")),
 _xlpm.itemStatus,TRIM(SUBSTITUTE(IFERROR(Resolutions[مستوى الإنجاز],""),CHAR(160),"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--(_xlpm.itemStatus="متأخر"),
  --(_xlpm.sector=TRIM(SUBSTITUTE($AU50,CHAR(160)," "))),
  --(_xlpm.dept=TRIM(SUBSTITUTE($AV50,CHAR(160)," ")))
 )
)</f>
        <v/>
      </c>
      <c r="BK50" s="85">
        <f>COUNTIFS(Projects[اسم المشروع],"&lt;&gt;",Projects[القطاع],$AU50&amp;"",Projects[[الإدارة ]],$AV50&amp;"")</f>
        <v/>
      </c>
      <c r="BL50" s="85">
        <f>COUNTIFS(Projects[مستوى الإنجاز],"Completed",Projects[القطاع],$AU50&amp;"",Projects[[الإدارة ]],$AV50&amp;"")</f>
        <v/>
      </c>
      <c r="BM50" s="85">
        <f>COUNTIFS(Projects[Late KPI],"Late",Projects[القطاع],$AU50&amp;"",Projects[[الإدارة ]],$AV50&amp;"")</f>
        <v/>
      </c>
      <c r="BN50" s="85">
        <f>COUNTIFS(Legislations[[عنوان التشريع ]],"&lt;&gt;",Legislations[القطاع],$AU50&amp;"",Legislations[الإدارة],$AV50&amp;"")</f>
        <v/>
      </c>
      <c r="BO50" s="85">
        <f>COUNTIFS(Legislations[مؤشرات الأداء],"في الموعد",Legislations[تجاوز الموعد],"&lt;&gt;متأخر",Legislations[القطاع],$AU50&amp;"",Legislations[الإدارة],$AV50&amp;"")</f>
        <v/>
      </c>
      <c r="BP50" s="85">
        <f>COUNTIFS(Legislations[مؤشرات الأداء],"في الموعد",Legislations[تجاوز الموعد],"متأخر",Legislations[القطاع],$AU50&amp;"",Legislations[الإدارة],$AV50&amp;"")</f>
        <v/>
      </c>
      <c r="BQ50" s="85">
        <f>COUNTIFS(Legislations[Late KPI],"متأخر",Legislations[القطاع],$AU50&amp;"",Legislations[الإدارة],$AV50&amp;"")</f>
        <v/>
      </c>
      <c r="BR50" s="85">
        <f t="array" ref="BR50">SUMPRODUCT(IFERROR(--Projects[الموازنة المعتمدة الجديدة],0),--(Projects[القطاع]=$AU50),--(Projects[[الإدارة ]]=$AV50))</f>
        <v/>
      </c>
      <c r="BS50" s="85">
        <f t="array" ref="BS50">SUMPRODUCT(IFERROR(--Projects[المنفق الفعلي],0),--(Projects[القطاع]=$AU50),--(Projects[[الإدارة ]]=$AV50))</f>
        <v/>
      </c>
      <c r="BT50" s="85">
        <f t="array" ref="BT50">SUMPRODUCT(IFERROR(--Projects[المخصص],0),--(Projects[القطاع]=$AU50),--(Projects[[الإدارة ]]=$AV50))</f>
        <v/>
      </c>
      <c r="BU50" s="85">
        <f t="array" ref="BU50">SUMPRODUCT(IFERROR(--Projects[غير المخصص],0),--(Projects[القطاع]=$AU50),--(Projects[[الإدارة ]]=$AV50))</f>
        <v/>
      </c>
      <c r="BV50" s="88">
        <f>COUNTIFS(Special[اسم المشروع],"&lt;&gt;",Special[مشاريع سموه],"نعم",Special[القطاع],$AU50,Special[[الإدارة ]],$AV50&amp;"")</f>
        <v/>
      </c>
      <c r="BW50" s="89">
        <f>COUNTIFS(Special[اسم المشروع],"&lt;&gt;",Special[مشاريع سموه],"لا",Special[القطاع],$AU50,Special[[الإدارة ]],$AV50&amp;"")</f>
        <v/>
      </c>
      <c r="BX50" s="88">
        <f>BV50-BA50-BB50</f>
        <v/>
      </c>
      <c r="BY50" s="88">
        <f>BW50-BC50-BD50</f>
        <v/>
      </c>
      <c r="BZ50" s="88">
        <f>COUNTIFS(ECSAC[[الموضوع ]],"&lt;&gt;",ECSAC[تصنيف الموضوع],"الأجندة السنوية",ECSAC[القطاع],$AU50,ECSAC[الإدارة],$AV50&amp;"")</f>
        <v/>
      </c>
      <c r="CA50" s="88">
        <f>COUNTIFS(ECSAC[[الموضوع ]],"&lt;&gt;",ECSAC[تصنيف الموضوع],"مستجد",ECSAC[القطاع],$AU50,ECSAC[الإدارة],$AV50&amp;"")</f>
        <v/>
      </c>
      <c r="CB50" s="88">
        <f>COUNTIFS(ECSAC[مستوى الإنجاز],"قيد التطوير",ECSAC[القطاع],$AU50,ECSAC[الإدارة],$AV50&amp;"")+COUNTIFS(ECSAC[مستوى الإنجاز],"قيد المراجعة",ECSAC[القطاع],$AU50,ECSAC[الإدارة],$AV50&amp;"")</f>
        <v/>
      </c>
      <c r="CC50" s="88">
        <f>COUNTIFS(ECSAC[مستوى الإنجاز],"جاهز للعرض",ECSAC[القطاع],$AU50,ECSAC[الإدارة],$AV50&amp;"")</f>
        <v/>
      </c>
      <c r="CD50" s="88">
        <f t="array" ref="CD50">_xlfn.LET(
_xlpm.topic,IFERROR(Resolutions[الموضوع],""),
_xlpm.followup,TRIM(SUBSTITUTE(IFERROR(Resolutions[متطلبات المتابعة],""),CHAR(160)," ")),
_xlpm.itemStatus,TRIM(SUBSTITUTE(IFERROR(Resolutions[مستوى الإنجاز],""),CHAR(160)," ")),
_xlpm.sector,TRIM(SUBSTITUTE(IFERROR(Resolutions[القطاع],""),CHAR(160)," ")),
_xlpm.dept,TRIM(SUBSTITUTE(IFERROR(Resolutions[الإدارة],""),CHAR(160)," ")),
SUMPRODUCT(
--(_xlpm.topic&lt;&gt;""),
--(((_xlpm.followup="رسالة رسمية")+(_xlpm.followup="بريد من الوحدة التنظيمية"))&gt;0),
--(((_xlpm.itemStatus="قيد التطوير")+(_xlpm.itemStatus="قيد المراجعة"))&gt;0),
--(_xlpm.sector=TRIM(SUBSTITUTE($AU50,CHAR(160)," "))),
--(_xlpm.dept=TRIM(SUBSTITUTE($AV50,CHAR(160)," ")))
)
)</f>
        <v/>
      </c>
      <c r="CE50" s="88">
        <f>COUNTIFS(Projects[مستوى الإنجاز],"Active",Projects[القطاع],$AU50,Projects[[الإدارة ]],$AV50&amp;"")</f>
        <v/>
      </c>
      <c r="CF50" s="91">
        <f>COUNTIFS(Projects[مستوى الإنجاز],"Cancelled",Projects[القطاع],$AU50,Projects[[الإدارة ]],$AV50&amp;"")+COUNTIFS(Projects[مستوى الإنجاز],"Frozen",Projects[القطاع],$AU50,Projects[[الإدارة ]],$AV50&amp;"")</f>
        <v/>
      </c>
      <c r="CG50" s="88">
        <f>COUNTIFS(Projects[الربع],"Q1",Projects[القطاع],$AU50,Projects[[الإدارة ]],$AV50&amp;"")</f>
        <v/>
      </c>
      <c r="CH50" s="88">
        <f>COUNTIFS(Projects[الربع],"Q2",Projects[القطاع],$AU50,Projects[[الإدارة ]],$AV50&amp;"")</f>
        <v/>
      </c>
      <c r="CI50" s="88">
        <f>COUNTIFS(Projects[الربع],"Q3",Projects[القطاع],$AU50,Projects[[الإدارة ]],$AV50&amp;"")</f>
        <v/>
      </c>
      <c r="CJ50" s="88">
        <f>COUNTIFS(Projects[الربع],"Q4",Projects[القطاع],$AU50,Projects[[الإدارة ]],$AV50&amp;"")</f>
        <v/>
      </c>
    </row>
    <row r="51">
      <c r="AU51" s="85" t="inlineStr">
        <is>
          <t>التنمية المستدامة</t>
        </is>
      </c>
      <c r="AV51" s="85" t="inlineStr">
        <is>
          <t>السياسات والاستراتيجيات البيئية والبنية التحتية</t>
        </is>
      </c>
      <c r="AW51" s="85" t="inlineStr">
        <is>
          <t>الشهر الحالي</t>
        </is>
      </c>
      <c r="AX51" s="85">
        <f t="array" ref="AX51">_xlfn.LET(
_xlpm.results,Strategy[[نتيجة العام ]],
SUMPRODUCT(
--(Strategy[المؤشر]&lt;&gt;"")*
--ISNUMBER(_xlpm.results)*
--(_xlpm.results&lt;&gt;0)*
--(Strategy[القطاع]=($AU51&amp;""))*
--(Strategy[الإدارة]=($AV51&amp;""))
)
)</f>
        <v/>
      </c>
      <c r="AY51" s="85">
        <f>IFERROR(
AVERAGEIFS(
Strategy[[نتيجة العام ]],
Strategy[المؤشر],"&lt;&gt;",
Strategy[[نتيجة العام ]],"&lt;&gt;0",
Strategy[القطاع],$AU51&amp;"",
Strategy[الإدارة],$AV51&amp;""
),
""
)</f>
        <v/>
      </c>
      <c r="AZ51" s="85">
        <f>COUNTIFS(Special[اسم المشروع],"&lt;&gt;",Special[القطاع],$AU51&amp;"",Special[[الإدارة ]],$AV51&amp;"")</f>
        <v/>
      </c>
      <c r="BA51" s="85">
        <f>COUNTIFS(Special[مستوى الإنجاز],"منجز",Special[مشاريع سموه],"نعم",Special[القطاع],$AU51&amp;"",Special[[الإدارة ]],$AV51&amp;"")</f>
        <v/>
      </c>
      <c r="BB51" s="85">
        <f>COUNTIFS(Special[مستوى الإنجاز],"متأخر",Special[مشاريع سموه],"نعم",Special[القطاع],$AU51&amp;"",Special[[الإدارة ]],$AV51&amp;"")</f>
        <v/>
      </c>
      <c r="BC51" s="85">
        <f>COUNTIFS(Special[مستوى الإنجاز],"منجز",Special[مشاريع سموه],"لا",Special[القطاع],$AU51&amp;"",Special[[الإدارة ]],$AV51&amp;"")</f>
        <v/>
      </c>
      <c r="BD51" s="85">
        <f>COUNTIFS(Special[مستوى الإنجاز],"متأخر",Special[مشاريع سموه],"لا",Special[القطاع],$AU51&amp;"",Special[[الإدارة ]],$AV51&amp;"")</f>
        <v/>
      </c>
      <c r="BE51" s="85">
        <f>COUNTIFS(ECSAC[[الموضوع ]],"&lt;&gt;",ECSAC[القطاع],$AU51&amp;"",ECSAC[الإدارة],$AV51&amp;"")</f>
        <v/>
      </c>
      <c r="BF51" s="85">
        <f>COUNTIFS(ECSAC[مستوى الإنجاز],"منجز",ECSAC[القطاع],$AU51&amp;"",ECSAC[الإدارة],$AV51&amp;"")</f>
        <v/>
      </c>
      <c r="BG51" s="85">
        <f>COUNTIFS(ECSAC[مستوى الإنجاز],"متأخر",ECSAC[القطاع],$AU51&amp;"",ECSAC[الإدارة],$AV51&amp;"")</f>
        <v/>
      </c>
      <c r="BH51" s="85">
        <f t="array" ref="BH51">_xlfn.LET(
 _xlpm.topic,IFERROR(Resolutions[الموضوع],""),
 _xlpm.followup,TRIM(SUBSTITUTE(IFERROR(Resolutions[متطلبات المتابعة],""),CHAR(160),"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--(_xlpm.sector=TRIM(SUBSTITUTE($AU51,CHAR(160)," "))),
  --(_xlpm.dept=TRIM(SUBSTITUTE($AV51,CHAR(160)," ")))
 )
)</f>
        <v/>
      </c>
      <c r="BI51" s="85">
        <f t="array" ref="BI51">_xlfn.LET(
 _xlpm.topic,IFERROR(Resolutions[الموضوع],""),
 _xlpm.followup,TRIM(SUBSTITUTE(IFERROR(Resolutions[متطلبات المتابعة],""),CHAR(160)," ")),
 _xlpm.itemStatus,TRIM(SUBSTITUTE(IFERROR(Resolutions[مستوى الإنجاز],""),CHAR(160),"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--(_xlpm.itemStatus="منجز"),
  --(_xlpm.sector=TRIM(SUBSTITUTE($AU51,CHAR(160)," "))),
  --(_xlpm.dept=TRIM(SUBSTITUTE($AV51,CHAR(160)," ")))
 )
)</f>
        <v/>
      </c>
      <c r="BJ51" s="85">
        <f t="array" ref="BJ51">_xlfn.LET(
 _xlpm.topic,IFERROR(Resolutions[الموضوع],""),
 _xlpm.followup,TRIM(SUBSTITUTE(IFERROR(Resolutions[متطلبات المتابعة],""),CHAR(160)," ")),
 _xlpm.itemStatus,TRIM(SUBSTITUTE(IFERROR(Resolutions[مستوى الإنجاز],""),CHAR(160),"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--(_xlpm.itemStatus="متأخر"),
  --(_xlpm.sector=TRIM(SUBSTITUTE($AU51,CHAR(160)," "))),
  --(_xlpm.dept=TRIM(SUBSTITUTE($AV51,CHAR(160)," ")))
 )
)</f>
        <v/>
      </c>
      <c r="BK51" s="85">
        <f>COUNTIFS(Projects[اسم المشروع],"&lt;&gt;",Projects[القطاع],$AU51&amp;"",Projects[[الإدارة ]],$AV51&amp;"")</f>
        <v/>
      </c>
      <c r="BL51" s="85">
        <f>COUNTIFS(Projects[مستوى الإنجاز],"Completed",Projects[القطاع],$AU51&amp;"",Projects[[الإدارة ]],$AV51&amp;"")</f>
        <v/>
      </c>
      <c r="BM51" s="85">
        <f>COUNTIFS(Projects[Late KPI],"Late",Projects[القطاع],$AU51&amp;"",Projects[[الإدارة ]],$AV51&amp;"")</f>
        <v/>
      </c>
      <c r="BN51" s="85">
        <f>COUNTIFS(Legislations[[عنوان التشريع ]],"&lt;&gt;",Legislations[القطاع],$AU51&amp;"",Legislations[الإدارة],$AV51&amp;"")</f>
        <v/>
      </c>
      <c r="BO51" s="85">
        <f>COUNTIFS(Legislations[مؤشرات الأداء],"في الموعد",Legislations[تجاوز الموعد],"&lt;&gt;متأخر",Legislations[القطاع],$AU51&amp;"",Legislations[الإدارة],$AV51&amp;"")</f>
        <v/>
      </c>
      <c r="BP51" s="85">
        <f>COUNTIFS(Legislations[مؤشرات الأداء],"في الموعد",Legislations[تجاوز الموعد],"متأخر",Legislations[القطاع],$AU51&amp;"",Legislations[الإدارة],$AV51&amp;"")</f>
        <v/>
      </c>
      <c r="BQ51" s="85">
        <f>COUNTIFS(Legislations[Late KPI],"متأخر",Legislations[القطاع],$AU51&amp;"",Legislations[الإدارة],$AV51&amp;"")</f>
        <v/>
      </c>
      <c r="BR51" s="85">
        <f t="array" ref="BR51">SUMPRODUCT(IFERROR(--Projects[الموازنة المعتمدة الجديدة],0),--(Projects[القطاع]=$AU51),--(Projects[[الإدارة ]]=$AV51))</f>
        <v/>
      </c>
      <c r="BS51" s="85">
        <f t="array" ref="BS51">SUMPRODUCT(IFERROR(--Projects[المنفق الفعلي],0),--(Projects[القطاع]=$AU51),--(Projects[[الإدارة ]]=$AV51))</f>
        <v/>
      </c>
      <c r="BT51" s="85">
        <f t="array" ref="BT51">SUMPRODUCT(IFERROR(--Projects[المخصص],0),--(Projects[القطاع]=$AU51),--(Projects[[الإدارة ]]=$AV51))</f>
        <v/>
      </c>
      <c r="BU51" s="85">
        <f t="array" ref="BU51">SUMPRODUCT(IFERROR(--Projects[غير المخصص],0),--(Projects[القطاع]=$AU51),--(Projects[[الإدارة ]]=$AV51))</f>
        <v/>
      </c>
      <c r="BV51" s="88">
        <f>COUNTIFS(Special[اسم المشروع],"&lt;&gt;",Special[مشاريع سموه],"نعم",Special[القطاع],$AU51,Special[[الإدارة ]],$AV51&amp;"")</f>
        <v/>
      </c>
      <c r="BW51" s="89">
        <f>COUNTIFS(Special[اسم المشروع],"&lt;&gt;",Special[مشاريع سموه],"لا",Special[القطاع],$AU51,Special[[الإدارة ]],$AV51&amp;"")</f>
        <v/>
      </c>
      <c r="BX51" s="88">
        <f>BV51-BA51-BB51</f>
        <v/>
      </c>
      <c r="BY51" s="88">
        <f>BW51-BC51-BD51</f>
        <v/>
      </c>
      <c r="BZ51" s="88">
        <f>COUNTIFS(ECSAC[[الموضوع ]],"&lt;&gt;",ECSAC[تصنيف الموضوع],"الأجندة السنوية",ECSAC[القطاع],$AU51,ECSAC[الإدارة],$AV51&amp;"")</f>
        <v/>
      </c>
      <c r="CA51" s="88">
        <f>COUNTIFS(ECSAC[[الموضوع ]],"&lt;&gt;",ECSAC[تصنيف الموضوع],"مستجد",ECSAC[القطاع],$AU51,ECSAC[الإدارة],$AV51&amp;"")</f>
        <v/>
      </c>
      <c r="CB51" s="88">
        <f>COUNTIFS(ECSAC[مستوى الإنجاز],"قيد التطوير",ECSAC[القطاع],$AU51,ECSAC[الإدارة],$AV51&amp;"")+COUNTIFS(ECSAC[مستوى الإنجاز],"قيد المراجعة",ECSAC[القطاع],$AU51,ECSAC[الإدارة],$AV51&amp;"")</f>
        <v/>
      </c>
      <c r="CC51" s="88">
        <f>COUNTIFS(ECSAC[مستوى الإنجاز],"جاهز للعرض",ECSAC[القطاع],$AU51,ECSAC[الإدارة],$AV51&amp;"")</f>
        <v/>
      </c>
      <c r="CD51" s="88">
        <f t="array" ref="CD51">_xlfn.LET(
_xlpm.topic,IFERROR(Resolutions[الموضوع],""),
_xlpm.followup,TRIM(SUBSTITUTE(IFERROR(Resolutions[متطلبات المتابعة],""),CHAR(160)," ")),
_xlpm.itemStatus,TRIM(SUBSTITUTE(IFERROR(Resolutions[مستوى الإنجاز],""),CHAR(160)," ")),
_xlpm.sector,TRIM(SUBSTITUTE(IFERROR(Resolutions[القطاع],""),CHAR(160)," ")),
_xlpm.dept,TRIM(SUBSTITUTE(IFERROR(Resolutions[الإدارة],""),CHAR(160)," ")),
SUMPRODUCT(
--(_xlpm.topic&lt;&gt;""),
--(((_xlpm.followup="رسالة رسمية")+(_xlpm.followup="بريد من الوحدة التنظيمية"))&gt;0),
--(((_xlpm.itemStatus="قيد التطوير")+(_xlpm.itemStatus="قيد المراجعة"))&gt;0),
--(_xlpm.sector=TRIM(SUBSTITUTE($AU51,CHAR(160)," "))),
--(_xlpm.dept=TRIM(SUBSTITUTE($AV51,CHAR(160)," ")))
)
)</f>
        <v/>
      </c>
      <c r="CE51" s="88">
        <f>COUNTIFS(Projects[مستوى الإنجاز],"Active",Projects[القطاع],$AU51,Projects[[الإدارة ]],$AV51&amp;"")</f>
        <v/>
      </c>
      <c r="CF51" s="91">
        <f>COUNTIFS(Projects[مستوى الإنجاز],"Cancelled",Projects[القطاع],$AU51,Projects[[الإدارة ]],$AV51&amp;"")+COUNTIFS(Projects[مستوى الإنجاز],"Frozen",Projects[القطاع],$AU51,Projects[[الإدارة ]],$AV51&amp;"")</f>
        <v/>
      </c>
      <c r="CG51" s="88">
        <f>COUNTIFS(Projects[الربع],"Q1",Projects[القطاع],$AU51,Projects[[الإدارة ]],$AV51&amp;"")</f>
        <v/>
      </c>
      <c r="CH51" s="88">
        <f>COUNTIFS(Projects[الربع],"Q2",Projects[القطاع],$AU51,Projects[[الإدارة ]],$AV51&amp;"")</f>
        <v/>
      </c>
      <c r="CI51" s="88">
        <f>COUNTIFS(Projects[الربع],"Q3",Projects[القطاع],$AU51,Projects[[الإدارة ]],$AV51&amp;"")</f>
        <v/>
      </c>
      <c r="CJ51" s="88">
        <f>COUNTIFS(Projects[الربع],"Q4",Projects[القطاع],$AU51,Projects[[الإدارة ]],$AV51&amp;"")</f>
        <v/>
      </c>
    </row>
    <row r="52">
      <c r="AU52" s="85" t="inlineStr">
        <is>
          <t>التنمية المستدامة</t>
        </is>
      </c>
      <c r="AV52" s="85" t="inlineStr">
        <is>
          <t>السياسات والاستراتيجيات الصحية والعدل</t>
        </is>
      </c>
      <c r="AW52" s="85" t="inlineStr">
        <is>
          <t>الشهر الحالي</t>
        </is>
      </c>
      <c r="AX52" s="85">
        <f t="array" ref="AX52">_xlfn.LET(
_xlpm.results,Strategy[[نتيجة العام ]],
SUMPRODUCT(
--(Strategy[المؤشر]&lt;&gt;"")*
--ISNUMBER(_xlpm.results)*
--(_xlpm.results&lt;&gt;0)*
--(Strategy[القطاع]=($AU52&amp;""))*
--(Strategy[الإدارة]=($AV52&amp;""))
)
)</f>
        <v/>
      </c>
      <c r="AY52" s="85">
        <f>IFERROR(
AVERAGEIFS(
Strategy[[نتيجة العام ]],
Strategy[المؤشر],"&lt;&gt;",
Strategy[[نتيجة العام ]],"&lt;&gt;0",
Strategy[القطاع],$AU52&amp;"",
Strategy[الإدارة],$AV52&amp;""
),
""
)</f>
        <v/>
      </c>
      <c r="AZ52" s="85">
        <f>COUNTIFS(Special[اسم المشروع],"&lt;&gt;",Special[القطاع],$AU52&amp;"",Special[[الإدارة ]],$AV52&amp;"")</f>
        <v/>
      </c>
      <c r="BA52" s="85">
        <f>COUNTIFS(Special[مستوى الإنجاز],"منجز",Special[مشاريع سموه],"نعم",Special[القطاع],$AU52&amp;"",Special[[الإدارة ]],$AV52&amp;"")</f>
        <v/>
      </c>
      <c r="BB52" s="85">
        <f>COUNTIFS(Special[مستوى الإنجاز],"متأخر",Special[مشاريع سموه],"نعم",Special[القطاع],$AU52&amp;"",Special[[الإدارة ]],$AV52&amp;"")</f>
        <v/>
      </c>
      <c r="BC52" s="85">
        <f>COUNTIFS(Special[مستوى الإنجاز],"منجز",Special[مشاريع سموه],"لا",Special[القطاع],$AU52&amp;"",Special[[الإدارة ]],$AV52&amp;"")</f>
        <v/>
      </c>
      <c r="BD52" s="85">
        <f>COUNTIFS(Special[مستوى الإنجاز],"متأخر",Special[مشاريع سموه],"لا",Special[القطاع],$AU52&amp;"",Special[[الإدارة ]],$AV52&amp;"")</f>
        <v/>
      </c>
      <c r="BE52" s="85">
        <f>COUNTIFS(ECSAC[[الموضوع ]],"&lt;&gt;",ECSAC[القطاع],$AU52&amp;"",ECSAC[الإدارة],$AV52&amp;"")</f>
        <v/>
      </c>
      <c r="BF52" s="85">
        <f>COUNTIFS(ECSAC[مستوى الإنجاز],"منجز",ECSAC[القطاع],$AU52&amp;"",ECSAC[الإدارة],$AV52&amp;"")</f>
        <v/>
      </c>
      <c r="BG52" s="85">
        <f>COUNTIFS(ECSAC[مستوى الإنجاز],"متأخر",ECSAC[القطاع],$AU52&amp;"",ECSAC[الإدارة],$AV52&amp;"")</f>
        <v/>
      </c>
      <c r="BH52" s="85">
        <f t="array" ref="BH52">_xlfn.LET(
 _xlpm.topic,IFERROR(Resolutions[الموضوع],""),
 _xlpm.followup,TRIM(SUBSTITUTE(IFERROR(Resolutions[متطلبات المتابعة],""),CHAR(160),"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--(_xlpm.sector=TRIM(SUBSTITUTE($AU52,CHAR(160)," "))),
  --(_xlpm.dept=TRIM(SUBSTITUTE($AV52,CHAR(160)," ")))
 )
)</f>
        <v/>
      </c>
      <c r="BI52" s="85">
        <f t="array" ref="BI52">_xlfn.LET(
 _xlpm.topic,IFERROR(Resolutions[الموضوع],""),
 _xlpm.followup,TRIM(SUBSTITUTE(IFERROR(Resolutions[متطلبات المتابعة],""),CHAR(160)," ")),
 _xlpm.itemStatus,TRIM(SUBSTITUTE(IFERROR(Resolutions[مستوى الإنجاز],""),CHAR(160),"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--(_xlpm.itemStatus="منجز"),
  --(_xlpm.sector=TRIM(SUBSTITUTE($AU52,CHAR(160)," "))),
  --(_xlpm.dept=TRIM(SUBSTITUTE($AV52,CHAR(160)," ")))
 )
)</f>
        <v/>
      </c>
      <c r="BJ52" s="85">
        <f t="array" ref="BJ52">_xlfn.LET(
 _xlpm.topic,IFERROR(Resolutions[الموضوع],""),
 _xlpm.followup,TRIM(SUBSTITUTE(IFERROR(Resolutions[متطلبات المتابعة],""),CHAR(160)," ")),
 _xlpm.itemStatus,TRIM(SUBSTITUTE(IFERROR(Resolutions[مستوى الإنجاز],""),CHAR(160),"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--(_xlpm.itemStatus="متأخر"),
  --(_xlpm.sector=TRIM(SUBSTITUTE($AU52,CHAR(160)," "))),
  --(_xlpm.dept=TRIM(SUBSTITUTE($AV52,CHAR(160)," ")))
 )
)</f>
        <v/>
      </c>
      <c r="BK52" s="85">
        <f>COUNTIFS(Projects[اسم المشروع],"&lt;&gt;",Projects[القطاع],$AU52&amp;"",Projects[[الإدارة ]],$AV52&amp;"")</f>
        <v/>
      </c>
      <c r="BL52" s="85">
        <f>COUNTIFS(Projects[مستوى الإنجاز],"Completed",Projects[القطاع],$AU52&amp;"",Projects[[الإدارة ]],$AV52&amp;"")</f>
        <v/>
      </c>
      <c r="BM52" s="85">
        <f>COUNTIFS(Projects[Late KPI],"Late",Projects[القطاع],$AU52&amp;"",Projects[[الإدارة ]],$AV52&amp;"")</f>
        <v/>
      </c>
      <c r="BN52" s="85">
        <f>COUNTIFS(Legislations[[عنوان التشريع ]],"&lt;&gt;",Legislations[القطاع],$AU52&amp;"",Legislations[الإدارة],$AV52&amp;"")</f>
        <v/>
      </c>
      <c r="BO52" s="85">
        <f>COUNTIFS(Legislations[مؤشرات الأداء],"في الموعد",Legislations[تجاوز الموعد],"&lt;&gt;متأخر",Legislations[القطاع],$AU52&amp;"",Legislations[الإدارة],$AV52&amp;"")</f>
        <v/>
      </c>
      <c r="BP52" s="85">
        <f>COUNTIFS(Legislations[مؤشرات الأداء],"في الموعد",Legislations[تجاوز الموعد],"متأخر",Legislations[القطاع],$AU52&amp;"",Legislations[الإدارة],$AV52&amp;"")</f>
        <v/>
      </c>
      <c r="BQ52" s="85">
        <f>COUNTIFS(Legislations[Late KPI],"متأخر",Legislations[القطاع],$AU52&amp;"",Legislations[الإدارة],$AV52&amp;"")</f>
        <v/>
      </c>
      <c r="BR52" s="85">
        <f t="array" ref="BR52">SUMPRODUCT(IFERROR(--Projects[الموازنة المعتمدة الجديدة],0),--(Projects[القطاع]=$AU52),--(Projects[[الإدارة ]]=$AV52))</f>
        <v/>
      </c>
      <c r="BS52" s="85">
        <f t="array" ref="BS52">SUMPRODUCT(IFERROR(--Projects[المنفق الفعلي],0),--(Projects[القطاع]=$AU52),--(Projects[[الإدارة ]]=$AV52))</f>
        <v/>
      </c>
      <c r="BT52" s="85">
        <f t="array" ref="BT52">SUMPRODUCT(IFERROR(--Projects[المخصص],0),--(Projects[القطاع]=$AU52),--(Projects[[الإدارة ]]=$AV52))</f>
        <v/>
      </c>
      <c r="BU52" s="85">
        <f t="array" ref="BU52">SUMPRODUCT(IFERROR(--Projects[غير المخصص],0),--(Projects[القطاع]=$AU52),--(Projects[[الإدارة ]]=$AV52))</f>
        <v/>
      </c>
      <c r="BV52" s="88">
        <f>COUNTIFS(Special[اسم المشروع],"&lt;&gt;",Special[مشاريع سموه],"نعم",Special[القطاع],$AU52,Special[[الإدارة ]],$AV52&amp;"")</f>
        <v/>
      </c>
      <c r="BW52" s="89">
        <f>COUNTIFS(Special[اسم المشروع],"&lt;&gt;",Special[مشاريع سموه],"لا",Special[القطاع],$AU52,Special[[الإدارة ]],$AV52&amp;"")</f>
        <v/>
      </c>
      <c r="BX52" s="88">
        <f>BV52-BA52-BB52</f>
        <v/>
      </c>
      <c r="BY52" s="88">
        <f>BW52-BC52-BD52</f>
        <v/>
      </c>
      <c r="BZ52" s="88">
        <f>COUNTIFS(ECSAC[[الموضوع ]],"&lt;&gt;",ECSAC[تصنيف الموضوع],"الأجندة السنوية",ECSAC[القطاع],$AU52,ECSAC[الإدارة],$AV52&amp;"")</f>
        <v/>
      </c>
      <c r="CA52" s="88">
        <f>COUNTIFS(ECSAC[[الموضوع ]],"&lt;&gt;",ECSAC[تصنيف الموضوع],"مستجد",ECSAC[القطاع],$AU52,ECSAC[الإدارة],$AV52&amp;"")</f>
        <v/>
      </c>
      <c r="CB52" s="88">
        <f>COUNTIFS(ECSAC[مستوى الإنجاز],"قيد التطوير",ECSAC[القطاع],$AU52,ECSAC[الإدارة],$AV52&amp;"")+COUNTIFS(ECSAC[مستوى الإنجاز],"قيد المراجعة",ECSAC[القطاع],$AU52,ECSAC[الإدارة],$AV52&amp;"")</f>
        <v/>
      </c>
      <c r="CC52" s="88">
        <f>COUNTIFS(ECSAC[مستوى الإنجاز],"جاهز للعرض",ECSAC[القطاع],$AU52,ECSAC[الإدارة],$AV52&amp;"")</f>
        <v/>
      </c>
      <c r="CD52" s="88">
        <f t="array" ref="CD52">_xlfn.LET(
_xlpm.topic,IFERROR(Resolutions[الموضوع],""),
_xlpm.followup,TRIM(SUBSTITUTE(IFERROR(Resolutions[متطلبات المتابعة],""),CHAR(160)," ")),
_xlpm.itemStatus,TRIM(SUBSTITUTE(IFERROR(Resolutions[مستوى الإنجاز],""),CHAR(160)," ")),
_xlpm.sector,TRIM(SUBSTITUTE(IFERROR(Resolutions[القطاع],""),CHAR(160)," ")),
_xlpm.dept,TRIM(SUBSTITUTE(IFERROR(Resolutions[الإدارة],""),CHAR(160)," ")),
SUMPRODUCT(
--(_xlpm.topic&lt;&gt;""),
--(((_xlpm.followup="رسالة رسمية")+(_xlpm.followup="بريد من الوحدة التنظيمية"))&gt;0),
--(((_xlpm.itemStatus="قيد التطوير")+(_xlpm.itemStatus="قيد المراجعة"))&gt;0),
--(_xlpm.sector=TRIM(SUBSTITUTE($AU52,CHAR(160)," "))),
--(_xlpm.dept=TRIM(SUBSTITUTE($AV52,CHAR(160)," ")))
)
)</f>
        <v/>
      </c>
      <c r="CE52" s="88">
        <f>COUNTIFS(Projects[مستوى الإنجاز],"Active",Projects[القطاع],$AU52,Projects[[الإدارة ]],$AV52&amp;"")</f>
        <v/>
      </c>
      <c r="CF52" s="91">
        <f>COUNTIFS(Projects[مستوى الإنجاز],"Cancelled",Projects[القطاع],$AU52,Projects[[الإدارة ]],$AV52&amp;"")+COUNTIFS(Projects[مستوى الإنجاز],"Frozen",Projects[القطاع],$AU52,Projects[[الإدارة ]],$AV52&amp;"")</f>
        <v/>
      </c>
      <c r="CG52" s="88">
        <f>COUNTIFS(Projects[الربع],"Q1",Projects[القطاع],$AU52,Projects[[الإدارة ]],$AV52&amp;"")</f>
        <v/>
      </c>
      <c r="CH52" s="88">
        <f>COUNTIFS(Projects[الربع],"Q2",Projects[القطاع],$AU52,Projects[[الإدارة ]],$AV52&amp;"")</f>
        <v/>
      </c>
      <c r="CI52" s="88">
        <f>COUNTIFS(Projects[الربع],"Q3",Projects[القطاع],$AU52,Projects[[الإدارة ]],$AV52&amp;"")</f>
        <v/>
      </c>
      <c r="CJ52" s="88">
        <f>COUNTIFS(Projects[الربع],"Q4",Projects[القطاع],$AU52,Projects[[الإدارة ]],$AV52&amp;"")</f>
        <v/>
      </c>
    </row>
    <row r="53">
      <c r="AU53" s="85" t="inlineStr">
        <is>
          <t>التنمية المستدامة</t>
        </is>
      </c>
      <c r="AV53" s="85" t="n"/>
      <c r="AW53" s="85" t="inlineStr">
        <is>
          <t>الشهر الحالي</t>
        </is>
      </c>
      <c r="AX53" s="85">
        <f t="array" ref="AX53">_xlfn.LET(
_xlpm.results,Strategy[[نتيجة العام ]],
SUMPRODUCT(
--(Strategy[المؤشر]&lt;&gt;"")*
--ISNUMBER(_xlpm.results)*
--(_xlpm.results&lt;&gt;0)*
--(Strategy[القطاع]=($AU53&amp;""))*
--(Strategy[الإدارة]=($AV53&amp;""))
)
)</f>
        <v/>
      </c>
      <c r="AY53" s="85">
        <f>IFERROR(
AVERAGEIFS(
Strategy[[نتيجة العام ]],
Strategy[المؤشر],"&lt;&gt;",
Strategy[[نتيجة العام ]],"&lt;&gt;0",
Strategy[القطاع],$AU53&amp;"",
Strategy[الإدارة],$AV53&amp;""
),
""
)</f>
        <v/>
      </c>
      <c r="AZ53" s="85">
        <f>COUNTIFS(Special[اسم المشروع],"&lt;&gt;",Special[القطاع],$AU53&amp;"",Special[[الإدارة ]],$AV53&amp;"")</f>
        <v/>
      </c>
      <c r="BA53" s="85">
        <f>COUNTIFS(Special[مستوى الإنجاز],"منجز",Special[مشاريع سموه],"نعم",Special[القطاع],$AU53&amp;"",Special[[الإدارة ]],$AV53&amp;"")</f>
        <v/>
      </c>
      <c r="BB53" s="85">
        <f>COUNTIFS(Special[مستوى الإنجاز],"متأخر",Special[مشاريع سموه],"نعم",Special[القطاع],$AU53&amp;"",Special[[الإدارة ]],$AV53&amp;"")</f>
        <v/>
      </c>
      <c r="BC53" s="85">
        <f>COUNTIFS(Special[مستوى الإنجاز],"منجز",Special[مشاريع سموه],"لا",Special[القطاع],$AU53&amp;"",Special[[الإدارة ]],$AV53&amp;"")</f>
        <v/>
      </c>
      <c r="BD53" s="85">
        <f>COUNTIFS(Special[مستوى الإنجاز],"متأخر",Special[مشاريع سموه],"لا",Special[القطاع],$AU53&amp;"",Special[[الإدارة ]],$AV53&amp;"")</f>
        <v/>
      </c>
      <c r="BE53" s="85">
        <f>COUNTIFS(ECSAC[[الموضوع ]],"&lt;&gt;",ECSAC[القطاع],$AU53&amp;"",ECSAC[الإدارة],$AV53&amp;"")</f>
        <v/>
      </c>
      <c r="BF53" s="85">
        <f>COUNTIFS(ECSAC[مستوى الإنجاز],"منجز",ECSAC[القطاع],$AU53&amp;"",ECSAC[الإدارة],$AV53&amp;"")</f>
        <v/>
      </c>
      <c r="BG53" s="85">
        <f>COUNTIFS(ECSAC[مستوى الإنجاز],"متأخر",ECSAC[القطاع],$AU53&amp;"",ECSAC[الإدارة],$AV53&amp;"")</f>
        <v/>
      </c>
      <c r="BH53" s="85">
        <f t="array" ref="BH53">_xlfn.LET(
 _xlpm.topic,IFERROR(Resolutions[الموضوع],""),
 _xlpm.followup,TRIM(SUBSTITUTE(IFERROR(Resolutions[متطلبات المتابعة],""),CHAR(160),"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--(_xlpm.sector=TRIM(SUBSTITUTE($AU53,CHAR(160)," "))),
  --(_xlpm.dept=TRIM(SUBSTITUTE($AV53,CHAR(160)," ")))
 )
)</f>
        <v/>
      </c>
      <c r="BI53" s="85">
        <f t="array" ref="BI53">_xlfn.LET(
 _xlpm.topic,IFERROR(Resolutions[الموضوع],""),
 _xlpm.followup,TRIM(SUBSTITUTE(IFERROR(Resolutions[متطلبات المتابعة],""),CHAR(160)," ")),
 _xlpm.itemStatus,TRIM(SUBSTITUTE(IFERROR(Resolutions[مستوى الإنجاز],""),CHAR(160),"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--(_xlpm.itemStatus="منجز"),
  --(_xlpm.sector=TRIM(SUBSTITUTE($AU53,CHAR(160)," "))),
  --(_xlpm.dept=TRIM(SUBSTITUTE($AV53,CHAR(160)," ")))
 )
)</f>
        <v/>
      </c>
      <c r="BJ53" s="85">
        <f t="array" ref="BJ53">_xlfn.LET(
 _xlpm.topic,IFERROR(Resolutions[الموضوع],""),
 _xlpm.followup,TRIM(SUBSTITUTE(IFERROR(Resolutions[متطلبات المتابعة],""),CHAR(160)," ")),
 _xlpm.itemStatus,TRIM(SUBSTITUTE(IFERROR(Resolutions[مستوى الإنجاز],""),CHAR(160),"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--(_xlpm.itemStatus="متأخر"),
  --(_xlpm.sector=TRIM(SUBSTITUTE($AU53,CHAR(160)," "))),
  --(_xlpm.dept=TRIM(SUBSTITUTE($AV53,CHAR(160)," ")))
 )
)</f>
        <v/>
      </c>
      <c r="BK53" s="85">
        <f>COUNTIFS(Projects[اسم المشروع],"&lt;&gt;",Projects[القطاع],$AU53&amp;"",Projects[[الإدارة ]],$AV53&amp;"")</f>
        <v/>
      </c>
      <c r="BL53" s="85">
        <f>COUNTIFS(Projects[مستوى الإنجاز],"Completed",Projects[القطاع],$AU53&amp;"",Projects[[الإدارة ]],$AV53&amp;"")</f>
        <v/>
      </c>
      <c r="BM53" s="85">
        <f>COUNTIFS(Projects[Late KPI],"Late",Projects[القطاع],$AU53&amp;"",Projects[[الإدارة ]],$AV53&amp;"")</f>
        <v/>
      </c>
      <c r="BN53" s="85">
        <f>COUNTIFS(Legislations[[عنوان التشريع ]],"&lt;&gt;",Legislations[القطاع],$AU53&amp;"",Legislations[الإدارة],$AV53&amp;"")</f>
        <v/>
      </c>
      <c r="BO53" s="85">
        <f>COUNTIFS(Legislations[مؤشرات الأداء],"في الموعد",Legislations[تجاوز الموعد],"&lt;&gt;متأخر",Legislations[القطاع],$AU53&amp;"",Legislations[الإدارة],$AV53&amp;"")</f>
        <v/>
      </c>
      <c r="BP53" s="85">
        <f>COUNTIFS(Legislations[مؤشرات الأداء],"في الموعد",Legislations[تجاوز الموعد],"متأخر",Legislations[القطاع],$AU53&amp;"",Legislations[الإدارة],$AV53&amp;"")</f>
        <v/>
      </c>
      <c r="BQ53" s="85">
        <f>COUNTIFS(Legislations[Late KPI],"متأخر",Legislations[القطاع],$AU53&amp;"",Legislations[الإدارة],$AV53&amp;"")</f>
        <v/>
      </c>
      <c r="BR53" s="85">
        <f t="array" ref="BR53">SUMPRODUCT(IFERROR(--Projects[الموازنة المعتمدة الجديدة],0),--(Projects[القطاع]=$AU53),--(Projects[[الإدارة ]]=$AV53))</f>
        <v/>
      </c>
      <c r="BS53" s="85">
        <f t="array" ref="BS53">SUMPRODUCT(IFERROR(--Projects[المنفق الفعلي],0),--(Projects[القطاع]=$AU53),--(Projects[[الإدارة ]]=$AV53))</f>
        <v/>
      </c>
      <c r="BT53" s="85">
        <f t="array" ref="BT53">SUMPRODUCT(IFERROR(--Projects[المخصص],0),--(Projects[القطاع]=$AU53),--(Projects[[الإدارة ]]=$AV53))</f>
        <v/>
      </c>
      <c r="BU53" s="85">
        <f t="array" ref="BU53">SUMPRODUCT(IFERROR(--Projects[غير المخصص],0),--(Projects[القطاع]=$AU53),--(Projects[[الإدارة ]]=$AV53))</f>
        <v/>
      </c>
      <c r="BV53" s="88">
        <f>COUNTIFS(Special[اسم المشروع],"&lt;&gt;",Special[مشاريع سموه],"نعم",Special[القطاع],$AU53,Special[[الإدارة ]],$AV53&amp;"")</f>
        <v/>
      </c>
      <c r="BW53" s="89">
        <f>COUNTIFS(Special[اسم المشروع],"&lt;&gt;",Special[مشاريع سموه],"لا",Special[القطاع],$AU53,Special[[الإدارة ]],$AV53&amp;"")</f>
        <v/>
      </c>
      <c r="BX53" s="88">
        <f>BV53-BA53-BB53</f>
        <v/>
      </c>
      <c r="BY53" s="88">
        <f>BW53-BC53-BD53</f>
        <v/>
      </c>
      <c r="BZ53" s="88">
        <f>COUNTIFS(ECSAC[[الموضوع ]],"&lt;&gt;",ECSAC[تصنيف الموضوع],"الأجندة السنوية",ECSAC[القطاع],$AU53,ECSAC[الإدارة],$AV53&amp;"")</f>
        <v/>
      </c>
      <c r="CA53" s="88">
        <f>COUNTIFS(ECSAC[[الموضوع ]],"&lt;&gt;",ECSAC[تصنيف الموضوع],"مستجد",ECSAC[القطاع],$AU53,ECSAC[الإدارة],$AV53&amp;"")</f>
        <v/>
      </c>
      <c r="CB53" s="88">
        <f>COUNTIFS(ECSAC[مستوى الإنجاز],"قيد التطوير",ECSAC[القطاع],$AU53,ECSAC[الإدارة],$AV53&amp;"")+COUNTIFS(ECSAC[مستوى الإنجاز],"قيد المراجعة",ECSAC[القطاع],$AU53,ECSAC[الإدارة],$AV53&amp;"")</f>
        <v/>
      </c>
      <c r="CC53" s="88">
        <f>COUNTIFS(ECSAC[مستوى الإنجاز],"جاهز للعرض",ECSAC[القطاع],$AU53,ECSAC[الإدارة],$AV53&amp;"")</f>
        <v/>
      </c>
      <c r="CD53" s="88">
        <f t="array" ref="CD53">_xlfn.LET(
_xlpm.topic,IFERROR(Resolutions[الموضوع],""),
_xlpm.followup,TRIM(SUBSTITUTE(IFERROR(Resolutions[متطلبات المتابعة],""),CHAR(160)," ")),
_xlpm.itemStatus,TRIM(SUBSTITUTE(IFERROR(Resolutions[مستوى الإنجاز],""),CHAR(160)," ")),
_xlpm.sector,TRIM(SUBSTITUTE(IFERROR(Resolutions[القطاع],""),CHAR(160)," ")),
_xlpm.dept,TRIM(SUBSTITUTE(IFERROR(Resolutions[الإدارة],""),CHAR(160)," ")),
SUMPRODUCT(
--(_xlpm.topic&lt;&gt;""),
--(((_xlpm.followup="رسالة رسمية")+(_xlpm.followup="بريد من الوحدة التنظيمية"))&gt;0),
--(((_xlpm.itemStatus="قيد التطوير")+(_xlpm.itemStatus="قيد المراجعة"))&gt;0),
--(_xlpm.sector=TRIM(SUBSTITUTE($AU53,CHAR(160)," "))),
--(_xlpm.dept=TRIM(SUBSTITUTE($AV53,CHAR(160)," ")))
)
)</f>
        <v/>
      </c>
      <c r="CE53" s="88">
        <f>COUNTIFS(Projects[مستوى الإنجاز],"Active",Projects[القطاع],$AU53,Projects[[الإدارة ]],$AV53&amp;"")</f>
        <v/>
      </c>
      <c r="CF53" s="91">
        <f>COUNTIFS(Projects[مستوى الإنجاز],"Cancelled",Projects[القطاع],$AU53,Projects[[الإدارة ]],$AV53&amp;"")+COUNTIFS(Projects[مستوى الإنجاز],"Frozen",Projects[القطاع],$AU53,Projects[[الإدارة ]],$AV53&amp;"")</f>
        <v/>
      </c>
      <c r="CG53" s="88">
        <f>COUNTIFS(Projects[الربع],"Q1",Projects[القطاع],$AU53,Projects[[الإدارة ]],$AV53&amp;"")</f>
        <v/>
      </c>
      <c r="CH53" s="88">
        <f>COUNTIFS(Projects[الربع],"Q2",Projects[القطاع],$AU53,Projects[[الإدارة ]],$AV53&amp;"")</f>
        <v/>
      </c>
      <c r="CI53" s="88">
        <f>COUNTIFS(Projects[الربع],"Q3",Projects[القطاع],$AU53,Projects[[الإدارة ]],$AV53&amp;"")</f>
        <v/>
      </c>
      <c r="CJ53" s="88">
        <f>COUNTIFS(Projects[الربع],"Q4",Projects[القطاع],$AU53,Projects[[الإدارة ]],$AV53&amp;"")</f>
        <v/>
      </c>
    </row>
    <row r="54">
      <c r="AU54" s="85" t="inlineStr">
        <is>
          <t>الحوكمة</t>
        </is>
      </c>
      <c r="AV54" s="85" t="inlineStr">
        <is>
          <t>الحوكمة</t>
        </is>
      </c>
      <c r="AW54" s="85" t="inlineStr">
        <is>
          <t>الشهر الحالي</t>
        </is>
      </c>
      <c r="AX54" s="85">
        <f t="array" ref="AX54">_xlfn.LET(
_xlpm.results,Strategy[[نتيجة العام ]],
SUMPRODUCT(
--(Strategy[المؤشر]&lt;&gt;"")*
--ISNUMBER(_xlpm.results)*
--(_xlpm.results&lt;&gt;0)*
--(Strategy[القطاع]=($AU54&amp;""))*
--(Strategy[الإدارة]=($AV54&amp;""))
)
)</f>
        <v/>
      </c>
      <c r="AY54" s="85">
        <f>IFERROR(
AVERAGEIFS(
Strategy[[نتيجة العام ]],
Strategy[المؤشر],"&lt;&gt;",
Strategy[[نتيجة العام ]],"&lt;&gt;0",
Strategy[القطاع],$AU54&amp;"",
Strategy[الإدارة],$AV54&amp;""
),
""
)</f>
        <v/>
      </c>
      <c r="AZ54" s="85">
        <f>COUNTIFS(Special[اسم المشروع],"&lt;&gt;",Special[القطاع],$AU54&amp;"",Special[[الإدارة ]],$AV54&amp;"")</f>
        <v/>
      </c>
      <c r="BA54" s="85">
        <f>COUNTIFS(Special[مستوى الإنجاز],"منجز",Special[مشاريع سموه],"نعم",Special[القطاع],$AU54&amp;"",Special[[الإدارة ]],$AV54&amp;"")</f>
        <v/>
      </c>
      <c r="BB54" s="85">
        <f>COUNTIFS(Special[مستوى الإنجاز],"متأخر",Special[مشاريع سموه],"نعم",Special[القطاع],$AU54&amp;"",Special[[الإدارة ]],$AV54&amp;"")</f>
        <v/>
      </c>
      <c r="BC54" s="85">
        <f>COUNTIFS(Special[مستوى الإنجاز],"منجز",Special[مشاريع سموه],"لا",Special[القطاع],$AU54&amp;"",Special[[الإدارة ]],$AV54&amp;"")</f>
        <v/>
      </c>
      <c r="BD54" s="85">
        <f>COUNTIFS(Special[مستوى الإنجاز],"متأخر",Special[مشاريع سموه],"لا",Special[القطاع],$AU54&amp;"",Special[[الإدارة ]],$AV54&amp;"")</f>
        <v/>
      </c>
      <c r="BE54" s="85">
        <f>COUNTIFS(ECSAC[[الموضوع ]],"&lt;&gt;",ECSAC[القطاع],$AU54&amp;"",ECSAC[الإدارة],$AV54&amp;"")</f>
        <v/>
      </c>
      <c r="BF54" s="85">
        <f>COUNTIFS(ECSAC[مستوى الإنجاز],"منجز",ECSAC[القطاع],$AU54&amp;"",ECSAC[الإدارة],$AV54&amp;"")</f>
        <v/>
      </c>
      <c r="BG54" s="85">
        <f>COUNTIFS(ECSAC[مستوى الإنجاز],"متأخر",ECSAC[القطاع],$AU54&amp;"",ECSAC[الإدارة],$AV54&amp;"")</f>
        <v/>
      </c>
      <c r="BH54" s="85">
        <f t="array" ref="BH54">_xlfn.LET(
 _xlpm.topic,IFERROR(Resolutions[الموضوع],""),
 _xlpm.followup,TRIM(SUBSTITUTE(IFERROR(Resolutions[متطلبات المتابعة],""),CHAR(160),"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--(_xlpm.sector=TRIM(SUBSTITUTE($AU54,CHAR(160)," "))),
  --(_xlpm.dept=TRIM(SUBSTITUTE($AV54,CHAR(160)," ")))
 )
)</f>
        <v/>
      </c>
      <c r="BI54" s="85">
        <f t="array" ref="BI54">_xlfn.LET(
 _xlpm.topic,IFERROR(Resolutions[الموضوع],""),
 _xlpm.followup,TRIM(SUBSTITUTE(IFERROR(Resolutions[متطلبات المتابعة],""),CHAR(160)," ")),
 _xlpm.itemStatus,TRIM(SUBSTITUTE(IFERROR(Resolutions[مستوى الإنجاز],""),CHAR(160),"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--(_xlpm.itemStatus="منجز"),
  --(_xlpm.sector=TRIM(SUBSTITUTE($AU54,CHAR(160)," "))),
  --(_xlpm.dept=TRIM(SUBSTITUTE($AV54,CHAR(160)," ")))
 )
)</f>
        <v/>
      </c>
      <c r="BJ54" s="85">
        <f t="array" ref="BJ54">_xlfn.LET(
 _xlpm.topic,IFERROR(Resolutions[الموضوع],""),
 _xlpm.followup,TRIM(SUBSTITUTE(IFERROR(Resolutions[متطلبات المتابعة],""),CHAR(160)," ")),
 _xlpm.itemStatus,TRIM(SUBSTITUTE(IFERROR(Resolutions[مستوى الإنجاز],""),CHAR(160),"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--(_xlpm.itemStatus="متأخر"),
  --(_xlpm.sector=TRIM(SUBSTITUTE($AU54,CHAR(160)," "))),
  --(_xlpm.dept=TRIM(SUBSTITUTE($AV54,CHAR(160)," ")))
 )
)</f>
        <v/>
      </c>
      <c r="BK54" s="85">
        <f>COUNTIFS(Projects[اسم المشروع],"&lt;&gt;",Projects[القطاع],$AU54&amp;"",Projects[[الإدارة ]],$AV54&amp;"")</f>
        <v/>
      </c>
      <c r="BL54" s="85">
        <f>COUNTIFS(Projects[مستوى الإنجاز],"Completed",Projects[القطاع],$AU54&amp;"",Projects[[الإدارة ]],$AV54&amp;"")</f>
        <v/>
      </c>
      <c r="BM54" s="85">
        <f>COUNTIFS(Projects[Late KPI],"Late",Projects[القطاع],$AU54&amp;"",Projects[[الإدارة ]],$AV54&amp;"")</f>
        <v/>
      </c>
      <c r="BN54" s="85">
        <f>COUNTIFS(Legislations[[عنوان التشريع ]],"&lt;&gt;",Legislations[القطاع],$AU54&amp;"",Legislations[الإدارة],$AV54&amp;"")</f>
        <v/>
      </c>
      <c r="BO54" s="85">
        <f>COUNTIFS(Legislations[مؤشرات الأداء],"في الموعد",Legislations[تجاوز الموعد],"&lt;&gt;متأخر",Legislations[القطاع],$AU54&amp;"",Legislations[الإدارة],$AV54&amp;"")</f>
        <v/>
      </c>
      <c r="BP54" s="85">
        <f>COUNTIFS(Legislations[مؤشرات الأداء],"في الموعد",Legislations[تجاوز الموعد],"متأخر",Legislations[القطاع],$AU54&amp;"",Legislations[الإدارة],$AV54&amp;"")</f>
        <v/>
      </c>
      <c r="BQ54" s="85">
        <f>COUNTIFS(Legislations[Late KPI],"متأخر",Legislations[القطاع],$AU54&amp;"",Legislations[الإدارة],$AV54&amp;"")</f>
        <v/>
      </c>
      <c r="BR54" s="85">
        <f t="array" ref="BR54">SUMPRODUCT(IFERROR(--Projects[الموازنة المعتمدة الجديدة],0),--(Projects[القطاع]=$AU54),--(Projects[[الإدارة ]]=$AV54))</f>
        <v/>
      </c>
      <c r="BS54" s="85">
        <f t="array" ref="BS54">SUMPRODUCT(IFERROR(--Projects[المنفق الفعلي],0),--(Projects[القطاع]=$AU54),--(Projects[[الإدارة ]]=$AV54))</f>
        <v/>
      </c>
      <c r="BT54" s="85">
        <f t="array" ref="BT54">SUMPRODUCT(IFERROR(--Projects[المخصص],0),--(Projects[القطاع]=$AU54),--(Projects[[الإدارة ]]=$AV54))</f>
        <v/>
      </c>
      <c r="BU54" s="85">
        <f t="array" ref="BU54">SUMPRODUCT(IFERROR(--Projects[غير المخصص],0),--(Projects[القطاع]=$AU54),--(Projects[[الإدارة ]]=$AV54))</f>
        <v/>
      </c>
      <c r="BV54" s="88">
        <f>COUNTIFS(Special[اسم المشروع],"&lt;&gt;",Special[مشاريع سموه],"نعم",Special[القطاع],$AU54,Special[[الإدارة ]],$AV54&amp;"")</f>
        <v/>
      </c>
      <c r="BW54" s="89">
        <f>COUNTIFS(Special[اسم المشروع],"&lt;&gt;",Special[مشاريع سموه],"لا",Special[القطاع],$AU54,Special[[الإدارة ]],$AV54&amp;"")</f>
        <v/>
      </c>
      <c r="BX54" s="88">
        <f>BV54-BA54-BB54</f>
        <v/>
      </c>
      <c r="BY54" s="88">
        <f>BW54-BC54-BD54</f>
        <v/>
      </c>
      <c r="BZ54" s="88">
        <f>COUNTIFS(ECSAC[[الموضوع ]],"&lt;&gt;",ECSAC[تصنيف الموضوع],"الأجندة السنوية",ECSAC[القطاع],$AU54,ECSAC[الإدارة],$AV54&amp;"")</f>
        <v/>
      </c>
      <c r="CA54" s="88">
        <f>COUNTIFS(ECSAC[[الموضوع ]],"&lt;&gt;",ECSAC[تصنيف الموضوع],"مستجد",ECSAC[القطاع],$AU54,ECSAC[الإدارة],$AV54&amp;"")</f>
        <v/>
      </c>
      <c r="CB54" s="88">
        <f>COUNTIFS(ECSAC[مستوى الإنجاز],"قيد التطوير",ECSAC[القطاع],$AU54,ECSAC[الإدارة],$AV54&amp;"")+COUNTIFS(ECSAC[مستوى الإنجاز],"قيد المراجعة",ECSAC[القطاع],$AU54,ECSAC[الإدارة],$AV54&amp;"")</f>
        <v/>
      </c>
      <c r="CC54" s="88">
        <f>COUNTIFS(ECSAC[مستوى الإنجاز],"جاهز للعرض",ECSAC[القطاع],$AU54,ECSAC[الإدارة],$AV54&amp;"")</f>
        <v/>
      </c>
      <c r="CD54" s="88">
        <f t="array" ref="CD54">_xlfn.LET(
_xlpm.topic,IFERROR(Resolutions[الموضوع],""),
_xlpm.followup,TRIM(SUBSTITUTE(IFERROR(Resolutions[متطلبات المتابعة],""),CHAR(160)," ")),
_xlpm.itemStatus,TRIM(SUBSTITUTE(IFERROR(Resolutions[مستوى الإنجاز],""),CHAR(160)," ")),
_xlpm.sector,TRIM(SUBSTITUTE(IFERROR(Resolutions[القطاع],""),CHAR(160)," ")),
_xlpm.dept,TRIM(SUBSTITUTE(IFERROR(Resolutions[الإدارة],""),CHAR(160)," ")),
SUMPRODUCT(
--(_xlpm.topic&lt;&gt;""),
--(((_xlpm.followup="رسالة رسمية")+(_xlpm.followup="بريد من الوحدة التنظيمية"))&gt;0),
--(((_xlpm.itemStatus="قيد التطوير")+(_xlpm.itemStatus="قيد المراجعة"))&gt;0),
--(_xlpm.sector=TRIM(SUBSTITUTE($AU54,CHAR(160)," "))),
--(_xlpm.dept=TRIM(SUBSTITUTE($AV54,CHAR(160)," ")))
)
)</f>
        <v/>
      </c>
      <c r="CE54" s="88">
        <f>COUNTIFS(Projects[مستوى الإنجاز],"Active",Projects[القطاع],$AU54,Projects[[الإدارة ]],$AV54&amp;"")</f>
        <v/>
      </c>
      <c r="CF54" s="91">
        <f>COUNTIFS(Projects[مستوى الإنجاز],"Cancelled",Projects[القطاع],$AU54,Projects[[الإدارة ]],$AV54&amp;"")+COUNTIFS(Projects[مستوى الإنجاز],"Frozen",Projects[القطاع],$AU54,Projects[[الإدارة ]],$AV54&amp;"")</f>
        <v/>
      </c>
      <c r="CG54" s="88">
        <f>COUNTIFS(Projects[الربع],"Q1",Projects[القطاع],$AU54,Projects[[الإدارة ]],$AV54&amp;"")</f>
        <v/>
      </c>
      <c r="CH54" s="88">
        <f>COUNTIFS(Projects[الربع],"Q2",Projects[القطاع],$AU54,Projects[[الإدارة ]],$AV54&amp;"")</f>
        <v/>
      </c>
      <c r="CI54" s="88">
        <f>COUNTIFS(Projects[الربع],"Q3",Projects[القطاع],$AU54,Projects[[الإدارة ]],$AV54&amp;"")</f>
        <v/>
      </c>
      <c r="CJ54" s="88">
        <f>COUNTIFS(Projects[الربع],"Q4",Projects[القطاع],$AU54,Projects[[الإدارة ]],$AV54&amp;"")</f>
        <v/>
      </c>
    </row>
    <row r="55">
      <c r="AU55" s="85" t="inlineStr">
        <is>
          <t>الحوكمة</t>
        </is>
      </c>
      <c r="AV55" s="85" t="inlineStr">
        <is>
          <t>التشريعات الحكومية</t>
        </is>
      </c>
      <c r="AW55" s="85" t="inlineStr">
        <is>
          <t>الشهر الحالي</t>
        </is>
      </c>
      <c r="AX55" s="85">
        <f t="array" ref="AX55">_xlfn.LET(
_xlpm.results,Strategy[[نتيجة العام ]],
SUMPRODUCT(
--(Strategy[المؤشر]&lt;&gt;"")*
--ISNUMBER(_xlpm.results)*
--(_xlpm.results&lt;&gt;0)*
--(Strategy[القطاع]=($AU55&amp;""))*
--(Strategy[الإدارة]=($AV55&amp;""))
)
)</f>
        <v/>
      </c>
      <c r="AY55" s="85">
        <f>IFERROR(
AVERAGEIFS(
Strategy[[نتيجة العام ]],
Strategy[المؤشر],"&lt;&gt;",
Strategy[[نتيجة العام ]],"&lt;&gt;0",
Strategy[القطاع],$AU55&amp;"",
Strategy[الإدارة],$AV55&amp;""
),
""
)</f>
        <v/>
      </c>
      <c r="AZ55" s="85">
        <f>COUNTIFS(Special[اسم المشروع],"&lt;&gt;",Special[القطاع],$AU55&amp;"",Special[[الإدارة ]],$AV55&amp;"")</f>
        <v/>
      </c>
      <c r="BA55" s="85">
        <f>COUNTIFS(Special[مستوى الإنجاز],"منجز",Special[مشاريع سموه],"نعم",Special[القطاع],$AU55&amp;"",Special[[الإدارة ]],$AV55&amp;"")</f>
        <v/>
      </c>
      <c r="BB55" s="85">
        <f>COUNTIFS(Special[مستوى الإنجاز],"متأخر",Special[مشاريع سموه],"نعم",Special[القطاع],$AU55&amp;"",Special[[الإدارة ]],$AV55&amp;"")</f>
        <v/>
      </c>
      <c r="BC55" s="85">
        <f>COUNTIFS(Special[مستوى الإنجاز],"منجز",Special[مشاريع سموه],"لا",Special[القطاع],$AU55&amp;"",Special[[الإدارة ]],$AV55&amp;"")</f>
        <v/>
      </c>
      <c r="BD55" s="85">
        <f>COUNTIFS(Special[مستوى الإنجاز],"متأخر",Special[مشاريع سموه],"لا",Special[القطاع],$AU55&amp;"",Special[[الإدارة ]],$AV55&amp;"")</f>
        <v/>
      </c>
      <c r="BE55" s="85">
        <f>COUNTIFS(ECSAC[[الموضوع ]],"&lt;&gt;",ECSAC[القطاع],$AU55&amp;"",ECSAC[الإدارة],$AV55&amp;"")</f>
        <v/>
      </c>
      <c r="BF55" s="85">
        <f>COUNTIFS(ECSAC[مستوى الإنجاز],"منجز",ECSAC[القطاع],$AU55&amp;"",ECSAC[الإدارة],$AV55&amp;"")</f>
        <v/>
      </c>
      <c r="BG55" s="85">
        <f>COUNTIFS(ECSAC[مستوى الإنجاز],"متأخر",ECSAC[القطاع],$AU55&amp;"",ECSAC[الإدارة],$AV55&amp;"")</f>
        <v/>
      </c>
      <c r="BH55" s="85">
        <f t="array" ref="BH55">_xlfn.LET(
 _xlpm.topic,IFERROR(Resolutions[الموضوع],""),
 _xlpm.followup,TRIM(SUBSTITUTE(IFERROR(Resolutions[متطلبات المتابعة],""),CHAR(160),"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--(_xlpm.sector=TRIM(SUBSTITUTE($AU55,CHAR(160)," "))),
  --(_xlpm.dept=TRIM(SUBSTITUTE($AV55,CHAR(160)," ")))
 )
)</f>
        <v/>
      </c>
      <c r="BI55" s="85">
        <f t="array" ref="BI55">_xlfn.LET(
 _xlpm.topic,IFERROR(Resolutions[الموضوع],""),
 _xlpm.followup,TRIM(SUBSTITUTE(IFERROR(Resolutions[متطلبات المتابعة],""),CHAR(160)," ")),
 _xlpm.itemStatus,TRIM(SUBSTITUTE(IFERROR(Resolutions[مستوى الإنجاز],""),CHAR(160),"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--(_xlpm.itemStatus="منجز"),
  --(_xlpm.sector=TRIM(SUBSTITUTE($AU55,CHAR(160)," "))),
  --(_xlpm.dept=TRIM(SUBSTITUTE($AV55,CHAR(160)," ")))
 )
)</f>
        <v/>
      </c>
      <c r="BJ55" s="85">
        <f t="array" ref="BJ55">_xlfn.LET(
 _xlpm.topic,IFERROR(Resolutions[الموضوع],""),
 _xlpm.followup,TRIM(SUBSTITUTE(IFERROR(Resolutions[متطلبات المتابعة],""),CHAR(160)," ")),
 _xlpm.itemStatus,TRIM(SUBSTITUTE(IFERROR(Resolutions[مستوى الإنجاز],""),CHAR(160),"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--(_xlpm.itemStatus="متأخر"),
  --(_xlpm.sector=TRIM(SUBSTITUTE($AU55,CHAR(160)," "))),
  --(_xlpm.dept=TRIM(SUBSTITUTE($AV55,CHAR(160)," ")))
 )
)</f>
        <v/>
      </c>
      <c r="BK55" s="85">
        <f>COUNTIFS(Projects[اسم المشروع],"&lt;&gt;",Projects[القطاع],$AU55&amp;"",Projects[[الإدارة ]],$AV55&amp;"")</f>
        <v/>
      </c>
      <c r="BL55" s="85">
        <f>COUNTIFS(Projects[مستوى الإنجاز],"Completed",Projects[القطاع],$AU55&amp;"",Projects[[الإدارة ]],$AV55&amp;"")</f>
        <v/>
      </c>
      <c r="BM55" s="85">
        <f>COUNTIFS(Projects[Late KPI],"Late",Projects[القطاع],$AU55&amp;"",Projects[[الإدارة ]],$AV55&amp;"")</f>
        <v/>
      </c>
      <c r="BN55" s="85">
        <f>COUNTIFS(Legislations[[عنوان التشريع ]],"&lt;&gt;",Legislations[القطاع],$AU55&amp;"",Legislations[الإدارة],$AV55&amp;"")</f>
        <v/>
      </c>
      <c r="BO55" s="85">
        <f>COUNTIFS(Legislations[مؤشرات الأداء],"في الموعد",Legislations[تجاوز الموعد],"&lt;&gt;متأخر",Legislations[القطاع],$AU55&amp;"",Legislations[الإدارة],$AV55&amp;"")</f>
        <v/>
      </c>
      <c r="BP55" s="85">
        <f>COUNTIFS(Legislations[مؤشرات الأداء],"في الموعد",Legislations[تجاوز الموعد],"متأخر",Legislations[القطاع],$AU55&amp;"",Legislations[الإدارة],$AV55&amp;"")</f>
        <v/>
      </c>
      <c r="BQ55" s="85">
        <f>COUNTIFS(Legislations[Late KPI],"متأخر",Legislations[القطاع],$AU55&amp;"",Legislations[الإدارة],$AV55&amp;"")</f>
        <v/>
      </c>
      <c r="BR55" s="85">
        <f t="array" ref="BR55">SUMPRODUCT(IFERROR(--Projects[الموازنة المعتمدة الجديدة],0),--(Projects[القطاع]=$AU55),--(Projects[[الإدارة ]]=$AV55))</f>
        <v/>
      </c>
      <c r="BS55" s="85">
        <f t="array" ref="BS55">SUMPRODUCT(IFERROR(--Projects[المنفق الفعلي],0),--(Projects[القطاع]=$AU55),--(Projects[[الإدارة ]]=$AV55))</f>
        <v/>
      </c>
      <c r="BT55" s="85">
        <f t="array" ref="BT55">SUMPRODUCT(IFERROR(--Projects[المخصص],0),--(Projects[القطاع]=$AU55),--(Projects[[الإدارة ]]=$AV55))</f>
        <v/>
      </c>
      <c r="BU55" s="85">
        <f t="array" ref="BU55">SUMPRODUCT(IFERROR(--Projects[غير المخصص],0),--(Projects[القطاع]=$AU55),--(Projects[[الإدارة ]]=$AV55))</f>
        <v/>
      </c>
      <c r="BV55" s="88">
        <f>COUNTIFS(Special[اسم المشروع],"&lt;&gt;",Special[مشاريع سموه],"نعم",Special[القطاع],$AU55,Special[[الإدارة ]],$AV55&amp;"")</f>
        <v/>
      </c>
      <c r="BW55" s="89">
        <f>COUNTIFS(Special[اسم المشروع],"&lt;&gt;",Special[مشاريع سموه],"لا",Special[القطاع],$AU55,Special[[الإدارة ]],$AV55&amp;"")</f>
        <v/>
      </c>
      <c r="BX55" s="88">
        <f>BV55-BA55-BB55</f>
        <v/>
      </c>
      <c r="BY55" s="88">
        <f>BW55-BC55-BD55</f>
        <v/>
      </c>
      <c r="BZ55" s="88">
        <f>COUNTIFS(ECSAC[[الموضوع ]],"&lt;&gt;",ECSAC[تصنيف الموضوع],"الأجندة السنوية",ECSAC[القطاع],$AU55,ECSAC[الإدارة],$AV55&amp;"")</f>
        <v/>
      </c>
      <c r="CA55" s="88">
        <f>COUNTIFS(ECSAC[[الموضوع ]],"&lt;&gt;",ECSAC[تصنيف الموضوع],"مستجد",ECSAC[القطاع],$AU55,ECSAC[الإدارة],$AV55&amp;"")</f>
        <v/>
      </c>
      <c r="CB55" s="88">
        <f>COUNTIFS(ECSAC[مستوى الإنجاز],"قيد التطوير",ECSAC[القطاع],$AU55,ECSAC[الإدارة],$AV55&amp;"")+COUNTIFS(ECSAC[مستوى الإنجاز],"قيد المراجعة",ECSAC[القطاع],$AU55,ECSAC[الإدارة],$AV55&amp;"")</f>
        <v/>
      </c>
      <c r="CC55" s="88">
        <f>COUNTIFS(ECSAC[مستوى الإنجاز],"جاهز للعرض",ECSAC[القطاع],$AU55,ECSAC[الإدارة],$AV55&amp;"")</f>
        <v/>
      </c>
      <c r="CD55" s="88">
        <f t="array" ref="CD55">_xlfn.LET(
_xlpm.topic,IFERROR(Resolutions[الموضوع],""),
_xlpm.followup,TRIM(SUBSTITUTE(IFERROR(Resolutions[متطلبات المتابعة],""),CHAR(160)," ")),
_xlpm.itemStatus,TRIM(SUBSTITUTE(IFERROR(Resolutions[مستوى الإنجاز],""),CHAR(160)," ")),
_xlpm.sector,TRIM(SUBSTITUTE(IFERROR(Resolutions[القطاع],""),CHAR(160)," ")),
_xlpm.dept,TRIM(SUBSTITUTE(IFERROR(Resolutions[الإدارة],""),CHAR(160)," ")),
SUMPRODUCT(
--(_xlpm.topic&lt;&gt;""),
--(((_xlpm.followup="رسالة رسمية")+(_xlpm.followup="بريد من الوحدة التنظيمية"))&gt;0),
--(((_xlpm.itemStatus="قيد التطوير")+(_xlpm.itemStatus="قيد المراجعة"))&gt;0),
--(_xlpm.sector=TRIM(SUBSTITUTE($AU55,CHAR(160)," "))),
--(_xlpm.dept=TRIM(SUBSTITUTE($AV55,CHAR(160)," ")))
)
)</f>
        <v/>
      </c>
      <c r="CE55" s="88">
        <f>COUNTIFS(Projects[مستوى الإنجاز],"Active",Projects[القطاع],$AU55,Projects[[الإدارة ]],$AV55&amp;"")</f>
        <v/>
      </c>
      <c r="CF55" s="91">
        <f>COUNTIFS(Projects[مستوى الإنجاز],"Cancelled",Projects[القطاع],$AU55,Projects[[الإدارة ]],$AV55&amp;"")+COUNTIFS(Projects[مستوى الإنجاز],"Frozen",Projects[القطاع],$AU55,Projects[[الإدارة ]],$AV55&amp;"")</f>
        <v/>
      </c>
      <c r="CG55" s="88">
        <f>COUNTIFS(Projects[الربع],"Q1",Projects[القطاع],$AU55,Projects[[الإدارة ]],$AV55&amp;"")</f>
        <v/>
      </c>
      <c r="CH55" s="88">
        <f>COUNTIFS(Projects[الربع],"Q2",Projects[القطاع],$AU55,Projects[[الإدارة ]],$AV55&amp;"")</f>
        <v/>
      </c>
      <c r="CI55" s="88">
        <f>COUNTIFS(Projects[الربع],"Q3",Projects[القطاع],$AU55,Projects[[الإدارة ]],$AV55&amp;"")</f>
        <v/>
      </c>
      <c r="CJ55" s="88">
        <f>COUNTIFS(Projects[الربع],"Q4",Projects[القطاع],$AU55,Projects[[الإدارة ]],$AV55&amp;"")</f>
        <v/>
      </c>
    </row>
    <row r="56">
      <c r="AU56" s="85" t="inlineStr">
        <is>
          <t>الحوكمة</t>
        </is>
      </c>
      <c r="AV56" s="85" t="inlineStr">
        <is>
          <t>التنفيذ والأداء</t>
        </is>
      </c>
      <c r="AW56" s="85" t="inlineStr">
        <is>
          <t>الشهر الحالي</t>
        </is>
      </c>
      <c r="AX56" s="85">
        <f t="array" ref="AX56">_xlfn.LET(
_xlpm.results,Strategy[[نتيجة العام ]],
SUMPRODUCT(
--(Strategy[المؤشر]&lt;&gt;"")*
--ISNUMBER(_xlpm.results)*
--(_xlpm.results&lt;&gt;0)*
--(Strategy[القطاع]=($AU56&amp;""))*
--(Strategy[الإدارة]=($AV56&amp;""))
)
)</f>
        <v/>
      </c>
      <c r="AY56" s="85">
        <f>IFERROR(
AVERAGEIFS(
Strategy[[نتيجة العام ]],
Strategy[المؤشر],"&lt;&gt;",
Strategy[[نتيجة العام ]],"&lt;&gt;0",
Strategy[القطاع],$AU56&amp;"",
Strategy[الإدارة],$AV56&amp;""
),
""
)</f>
        <v/>
      </c>
      <c r="AZ56" s="85">
        <f>COUNTIFS(Special[اسم المشروع],"&lt;&gt;",Special[القطاع],$AU56&amp;"",Special[[الإدارة ]],$AV56&amp;"")</f>
        <v/>
      </c>
      <c r="BA56" s="85">
        <f>COUNTIFS(Special[مستوى الإنجاز],"منجز",Special[مشاريع سموه],"نعم",Special[القطاع],$AU56&amp;"",Special[[الإدارة ]],$AV56&amp;"")</f>
        <v/>
      </c>
      <c r="BB56" s="85">
        <f>COUNTIFS(Special[مستوى الإنجاز],"متأخر",Special[مشاريع سموه],"نعم",Special[القطاع],$AU56&amp;"",Special[[الإدارة ]],$AV56&amp;"")</f>
        <v/>
      </c>
      <c r="BC56" s="85">
        <f>COUNTIFS(Special[مستوى الإنجاز],"منجز",Special[مشاريع سموه],"لا",Special[القطاع],$AU56&amp;"",Special[[الإدارة ]],$AV56&amp;"")</f>
        <v/>
      </c>
      <c r="BD56" s="85">
        <f>COUNTIFS(Special[مستوى الإنجاز],"متأخر",Special[مشاريع سموه],"لا",Special[القطاع],$AU56&amp;"",Special[[الإدارة ]],$AV56&amp;"")</f>
        <v/>
      </c>
      <c r="BE56" s="85">
        <f>COUNTIFS(ECSAC[[الموضوع ]],"&lt;&gt;",ECSAC[القطاع],$AU56&amp;"",ECSAC[الإدارة],$AV56&amp;"")</f>
        <v/>
      </c>
      <c r="BF56" s="85">
        <f>COUNTIFS(ECSAC[مستوى الإنجاز],"منجز",ECSAC[القطاع],$AU56&amp;"",ECSAC[الإدارة],$AV56&amp;"")</f>
        <v/>
      </c>
      <c r="BG56" s="85">
        <f>COUNTIFS(ECSAC[مستوى الإنجاز],"متأخر",ECSAC[القطاع],$AU56&amp;"",ECSAC[الإدارة],$AV56&amp;"")</f>
        <v/>
      </c>
      <c r="BH56" s="85">
        <f t="array" ref="BH56">_xlfn.LET(
 _xlpm.topic,IFERROR(Resolutions[الموضوع],""),
 _xlpm.followup,TRIM(SUBSTITUTE(IFERROR(Resolutions[متطلبات المتابعة],""),CHAR(160),"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--(_xlpm.sector=TRIM(SUBSTITUTE($AU56,CHAR(160)," "))),
  --(_xlpm.dept=TRIM(SUBSTITUTE($AV56,CHAR(160)," ")))
 )
)</f>
        <v/>
      </c>
      <c r="BI56" s="85">
        <f t="array" ref="BI56">_xlfn.LET(
 _xlpm.topic,IFERROR(Resolutions[الموضوع],""),
 _xlpm.followup,TRIM(SUBSTITUTE(IFERROR(Resolutions[متطلبات المتابعة],""),CHAR(160)," ")),
 _xlpm.itemStatus,TRIM(SUBSTITUTE(IFERROR(Resolutions[مستوى الإنجاز],""),CHAR(160),"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--(_xlpm.itemStatus="منجز"),
  --(_xlpm.sector=TRIM(SUBSTITUTE($AU56,CHAR(160)," "))),
  --(_xlpm.dept=TRIM(SUBSTITUTE($AV56,CHAR(160)," ")))
 )
)</f>
        <v/>
      </c>
      <c r="BJ56" s="85">
        <f t="array" ref="BJ56">_xlfn.LET(
 _xlpm.topic,IFERROR(Resolutions[الموضوع],""),
 _xlpm.followup,TRIM(SUBSTITUTE(IFERROR(Resolutions[متطلبات المتابعة],""),CHAR(160)," ")),
 _xlpm.itemStatus,TRIM(SUBSTITUTE(IFERROR(Resolutions[مستوى الإنجاز],""),CHAR(160),"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--(_xlpm.itemStatus="متأخر"),
  --(_xlpm.sector=TRIM(SUBSTITUTE($AU56,CHAR(160)," "))),
  --(_xlpm.dept=TRIM(SUBSTITUTE($AV56,CHAR(160)," ")))
 )
)</f>
        <v/>
      </c>
      <c r="BK56" s="85">
        <f>COUNTIFS(Projects[اسم المشروع],"&lt;&gt;",Projects[القطاع],$AU56&amp;"",Projects[[الإدارة ]],$AV56&amp;"")</f>
        <v/>
      </c>
      <c r="BL56" s="85">
        <f>COUNTIFS(Projects[مستوى الإنجاز],"Completed",Projects[القطاع],$AU56&amp;"",Projects[[الإدارة ]],$AV56&amp;"")</f>
        <v/>
      </c>
      <c r="BM56" s="85">
        <f>COUNTIFS(Projects[Late KPI],"Late",Projects[القطاع],$AU56&amp;"",Projects[[الإدارة ]],$AV56&amp;"")</f>
        <v/>
      </c>
      <c r="BN56" s="85">
        <f>COUNTIFS(Legislations[[عنوان التشريع ]],"&lt;&gt;",Legislations[القطاع],$AU56&amp;"",Legislations[الإدارة],$AV56&amp;"")</f>
        <v/>
      </c>
      <c r="BO56" s="85">
        <f>COUNTIFS(Legislations[مؤشرات الأداء],"في الموعد",Legislations[تجاوز الموعد],"&lt;&gt;متأخر",Legislations[القطاع],$AU56&amp;"",Legislations[الإدارة],$AV56&amp;"")</f>
        <v/>
      </c>
      <c r="BP56" s="85">
        <f>COUNTIFS(Legislations[مؤشرات الأداء],"في الموعد",Legislations[تجاوز الموعد],"متأخر",Legislations[القطاع],$AU56&amp;"",Legislations[الإدارة],$AV56&amp;"")</f>
        <v/>
      </c>
      <c r="BQ56" s="85">
        <f>COUNTIFS(Legislations[Late KPI],"متأخر",Legislations[القطاع],$AU56&amp;"",Legislations[الإدارة],$AV56&amp;"")</f>
        <v/>
      </c>
      <c r="BR56" s="85">
        <f t="array" ref="BR56">SUMPRODUCT(IFERROR(--Projects[الموازنة المعتمدة الجديدة],0),--(Projects[القطاع]=$AU56),--(Projects[[الإدارة ]]=$AV56))</f>
        <v/>
      </c>
      <c r="BS56" s="85">
        <f t="array" ref="BS56">SUMPRODUCT(IFERROR(--Projects[المنفق الفعلي],0),--(Projects[القطاع]=$AU56),--(Projects[[الإدارة ]]=$AV56))</f>
        <v/>
      </c>
      <c r="BT56" s="85">
        <f t="array" ref="BT56">SUMPRODUCT(IFERROR(--Projects[المخصص],0),--(Projects[القطاع]=$AU56),--(Projects[[الإدارة ]]=$AV56))</f>
        <v/>
      </c>
      <c r="BU56" s="85">
        <f t="array" ref="BU56">SUMPRODUCT(IFERROR(--Projects[غير المخصص],0),--(Projects[القطاع]=$AU56),--(Projects[[الإدارة ]]=$AV56))</f>
        <v/>
      </c>
      <c r="BV56" s="88">
        <f>COUNTIFS(Special[اسم المشروع],"&lt;&gt;",Special[مشاريع سموه],"نعم",Special[القطاع],$AU56,Special[[الإدارة ]],$AV56&amp;"")</f>
        <v/>
      </c>
      <c r="BW56" s="89">
        <f>COUNTIFS(Special[اسم المشروع],"&lt;&gt;",Special[مشاريع سموه],"لا",Special[القطاع],$AU56,Special[[الإدارة ]],$AV56&amp;"")</f>
        <v/>
      </c>
      <c r="BX56" s="88">
        <f>BV56-BA56-BB56</f>
        <v/>
      </c>
      <c r="BY56" s="88">
        <f>BW56-BC56-BD56</f>
        <v/>
      </c>
      <c r="BZ56" s="88">
        <f>COUNTIFS(ECSAC[[الموضوع ]],"&lt;&gt;",ECSAC[تصنيف الموضوع],"الأجندة السنوية",ECSAC[القطاع],$AU56,ECSAC[الإدارة],$AV56&amp;"")</f>
        <v/>
      </c>
      <c r="CA56" s="88">
        <f>COUNTIFS(ECSAC[[الموضوع ]],"&lt;&gt;",ECSAC[تصنيف الموضوع],"مستجد",ECSAC[القطاع],$AU56,ECSAC[الإدارة],$AV56&amp;"")</f>
        <v/>
      </c>
      <c r="CB56" s="88">
        <f>COUNTIFS(ECSAC[مستوى الإنجاز],"قيد التطوير",ECSAC[القطاع],$AU56,ECSAC[الإدارة],$AV56&amp;"")+COUNTIFS(ECSAC[مستوى الإنجاز],"قيد المراجعة",ECSAC[القطاع],$AU56,ECSAC[الإدارة],$AV56&amp;"")</f>
        <v/>
      </c>
      <c r="CC56" s="88">
        <f>COUNTIFS(ECSAC[مستوى الإنجاز],"جاهز للعرض",ECSAC[القطاع],$AU56,ECSAC[الإدارة],$AV56&amp;"")</f>
        <v/>
      </c>
      <c r="CD56" s="88">
        <f t="array" ref="CD56">_xlfn.LET(
_xlpm.topic,IFERROR(Resolutions[الموضوع],""),
_xlpm.followup,TRIM(SUBSTITUTE(IFERROR(Resolutions[متطلبات المتابعة],""),CHAR(160)," ")),
_xlpm.itemStatus,TRIM(SUBSTITUTE(IFERROR(Resolutions[مستوى الإنجاز],""),CHAR(160)," ")),
_xlpm.sector,TRIM(SUBSTITUTE(IFERROR(Resolutions[القطاع],""),CHAR(160)," ")),
_xlpm.dept,TRIM(SUBSTITUTE(IFERROR(Resolutions[الإدارة],""),CHAR(160)," ")),
SUMPRODUCT(
--(_xlpm.topic&lt;&gt;""),
--(((_xlpm.followup="رسالة رسمية")+(_xlpm.followup="بريد من الوحدة التنظيمية"))&gt;0),
--(((_xlpm.itemStatus="قيد التطوير")+(_xlpm.itemStatus="قيد المراجعة"))&gt;0),
--(_xlpm.sector=TRIM(SUBSTITUTE($AU56,CHAR(160)," "))),
--(_xlpm.dept=TRIM(SUBSTITUTE($AV56,CHAR(160)," ")))
)
)</f>
        <v/>
      </c>
      <c r="CE56" s="88">
        <f>COUNTIFS(Projects[مستوى الإنجاز],"Active",Projects[القطاع],$AU56,Projects[[الإدارة ]],$AV56&amp;"")</f>
        <v/>
      </c>
      <c r="CF56" s="91">
        <f>COUNTIFS(Projects[مستوى الإنجاز],"Cancelled",Projects[القطاع],$AU56,Projects[[الإدارة ]],$AV56&amp;"")+COUNTIFS(Projects[مستوى الإنجاز],"Frozen",Projects[القطاع],$AU56,Projects[[الإدارة ]],$AV56&amp;"")</f>
        <v/>
      </c>
      <c r="CG56" s="88">
        <f>COUNTIFS(Projects[الربع],"Q1",Projects[القطاع],$AU56,Projects[[الإدارة ]],$AV56&amp;"")</f>
        <v/>
      </c>
      <c r="CH56" s="88">
        <f>COUNTIFS(Projects[الربع],"Q2",Projects[القطاع],$AU56,Projects[[الإدارة ]],$AV56&amp;"")</f>
        <v/>
      </c>
      <c r="CI56" s="88">
        <f>COUNTIFS(Projects[الربع],"Q3",Projects[القطاع],$AU56,Projects[[الإدارة ]],$AV56&amp;"")</f>
        <v/>
      </c>
      <c r="CJ56" s="88">
        <f>COUNTIFS(Projects[الربع],"Q4",Projects[القطاع],$AU56,Projects[[الإدارة ]],$AV56&amp;"")</f>
        <v/>
      </c>
    </row>
    <row r="57">
      <c r="AU57" s="85" t="inlineStr">
        <is>
          <t>الحوكمة</t>
        </is>
      </c>
      <c r="AV57" s="85" t="n"/>
      <c r="AW57" s="85" t="inlineStr">
        <is>
          <t>الشهر الحالي</t>
        </is>
      </c>
      <c r="AX57" s="85">
        <f t="array" ref="AX57">_xlfn.LET(
_xlpm.results,Strategy[[نتيجة العام ]],
SUMPRODUCT(
--(Strategy[المؤشر]&lt;&gt;"")*
--ISNUMBER(_xlpm.results)*
--(_xlpm.results&lt;&gt;0)*
--(Strategy[القطاع]=($AU57&amp;""))*
--(Strategy[الإدارة]=($AV57&amp;""))
)
)</f>
        <v/>
      </c>
      <c r="AY57" s="85">
        <f>IFERROR(
AVERAGEIFS(
Strategy[[نتيجة العام ]],
Strategy[المؤشر],"&lt;&gt;",
Strategy[[نتيجة العام ]],"&lt;&gt;0",
Strategy[القطاع],$AU57&amp;"",
Strategy[الإدارة],$AV57&amp;""
),
""
)</f>
        <v/>
      </c>
      <c r="AZ57" s="85">
        <f>COUNTIFS(Special[اسم المشروع],"&lt;&gt;",Special[القطاع],$AU57&amp;"",Special[[الإدارة ]],$AV57&amp;"")</f>
        <v/>
      </c>
      <c r="BA57" s="85">
        <f>COUNTIFS(Special[مستوى الإنجاز],"منجز",Special[مشاريع سموه],"نعم",Special[القطاع],$AU57&amp;"",Special[[الإدارة ]],$AV57&amp;"")</f>
        <v/>
      </c>
      <c r="BB57" s="85">
        <f>COUNTIFS(Special[مستوى الإنجاز],"متأخر",Special[مشاريع سموه],"نعم",Special[القطاع],$AU57&amp;"",Special[[الإدارة ]],$AV57&amp;"")</f>
        <v/>
      </c>
      <c r="BC57" s="85">
        <f>COUNTIFS(Special[مستوى الإنجاز],"منجز",Special[مشاريع سموه],"لا",Special[القطاع],$AU57&amp;"",Special[[الإدارة ]],$AV57&amp;"")</f>
        <v/>
      </c>
      <c r="BD57" s="85">
        <f>COUNTIFS(Special[مستوى الإنجاز],"متأخر",Special[مشاريع سموه],"لا",Special[القطاع],$AU57&amp;"",Special[[الإدارة ]],$AV57&amp;"")</f>
        <v/>
      </c>
      <c r="BE57" s="85">
        <f>COUNTIFS(ECSAC[[الموضوع ]],"&lt;&gt;",ECSAC[القطاع],$AU57&amp;"",ECSAC[الإدارة],$AV57&amp;"")</f>
        <v/>
      </c>
      <c r="BF57" s="85">
        <f>COUNTIFS(ECSAC[مستوى الإنجاز],"منجز",ECSAC[القطاع],$AU57&amp;"",ECSAC[الإدارة],$AV57&amp;"")</f>
        <v/>
      </c>
      <c r="BG57" s="85">
        <f>COUNTIFS(ECSAC[مستوى الإنجاز],"متأخر",ECSAC[القطاع],$AU57&amp;"",ECSAC[الإدارة],$AV57&amp;"")</f>
        <v/>
      </c>
      <c r="BH57" s="85">
        <f t="array" ref="BH57">_xlfn.LET(
 _xlpm.topic,IFERROR(Resolutions[الموضوع],""),
 _xlpm.followup,TRIM(SUBSTITUTE(IFERROR(Resolutions[متطلبات المتابعة],""),CHAR(160),"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--(_xlpm.sector=TRIM(SUBSTITUTE($AU57,CHAR(160)," "))),
  --(_xlpm.dept=TRIM(SUBSTITUTE($AV57,CHAR(160)," ")))
 )
)</f>
        <v/>
      </c>
      <c r="BI57" s="85">
        <f t="array" ref="BI57">_xlfn.LET(
 _xlpm.topic,IFERROR(Resolutions[الموضوع],""),
 _xlpm.followup,TRIM(SUBSTITUTE(IFERROR(Resolutions[متطلبات المتابعة],""),CHAR(160)," ")),
 _xlpm.itemStatus,TRIM(SUBSTITUTE(IFERROR(Resolutions[مستوى الإنجاز],""),CHAR(160),"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--(_xlpm.itemStatus="منجز"),
  --(_xlpm.sector=TRIM(SUBSTITUTE($AU57,CHAR(160)," "))),
  --(_xlpm.dept=TRIM(SUBSTITUTE($AV57,CHAR(160)," ")))
 )
)</f>
        <v/>
      </c>
      <c r="BJ57" s="85">
        <f t="array" ref="BJ57">_xlfn.LET(
 _xlpm.topic,IFERROR(Resolutions[الموضوع],""),
 _xlpm.followup,TRIM(SUBSTITUTE(IFERROR(Resolutions[متطلبات المتابعة],""),CHAR(160)," ")),
 _xlpm.itemStatus,TRIM(SUBSTITUTE(IFERROR(Resolutions[مستوى الإنجاز],""),CHAR(160),"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--(_xlpm.itemStatus="متأخر"),
  --(_xlpm.sector=TRIM(SUBSTITUTE($AU57,CHAR(160)," "))),
  --(_xlpm.dept=TRIM(SUBSTITUTE($AV57,CHAR(160)," ")))
 )
)</f>
        <v/>
      </c>
      <c r="BK57" s="85">
        <f>COUNTIFS(Projects[اسم المشروع],"&lt;&gt;",Projects[القطاع],$AU57&amp;"",Projects[[الإدارة ]],$AV57&amp;"")</f>
        <v/>
      </c>
      <c r="BL57" s="85">
        <f>COUNTIFS(Projects[مستوى الإنجاز],"Completed",Projects[القطاع],$AU57&amp;"",Projects[[الإدارة ]],$AV57&amp;"")</f>
        <v/>
      </c>
      <c r="BM57" s="85">
        <f>COUNTIFS(Projects[Late KPI],"Late",Projects[القطاع],$AU57&amp;"",Projects[[الإدارة ]],$AV57&amp;"")</f>
        <v/>
      </c>
      <c r="BN57" s="85">
        <f>COUNTIFS(Legislations[[عنوان التشريع ]],"&lt;&gt;",Legislations[القطاع],$AU57&amp;"",Legislations[الإدارة],$AV57&amp;"")</f>
        <v/>
      </c>
      <c r="BO57" s="85">
        <f>COUNTIFS(Legislations[مؤشرات الأداء],"في الموعد",Legislations[تجاوز الموعد],"&lt;&gt;متأخر",Legislations[القطاع],$AU57&amp;"",Legislations[الإدارة],$AV57&amp;"")</f>
        <v/>
      </c>
      <c r="BP57" s="85">
        <f>COUNTIFS(Legislations[مؤشرات الأداء],"في الموعد",Legislations[تجاوز الموعد],"متأخر",Legislations[القطاع],$AU57&amp;"",Legislations[الإدارة],$AV57&amp;"")</f>
        <v/>
      </c>
      <c r="BQ57" s="85">
        <f>COUNTIFS(Legislations[Late KPI],"متأخر",Legislations[القطاع],$AU57&amp;"",Legislations[الإدارة],$AV57&amp;"")</f>
        <v/>
      </c>
      <c r="BR57" s="85">
        <f t="array" ref="BR57">SUMPRODUCT(IFERROR(--Projects[الموازنة المعتمدة الجديدة],0),--(Projects[القطاع]=$AU57),--(Projects[[الإدارة ]]=$AV57))</f>
        <v/>
      </c>
      <c r="BS57" s="85">
        <f t="array" ref="BS57">SUMPRODUCT(IFERROR(--Projects[المنفق الفعلي],0),--(Projects[القطاع]=$AU57),--(Projects[[الإدارة ]]=$AV57))</f>
        <v/>
      </c>
      <c r="BT57" s="85">
        <f t="array" ref="BT57">SUMPRODUCT(IFERROR(--Projects[المخصص],0),--(Projects[القطاع]=$AU57),--(Projects[[الإدارة ]]=$AV57))</f>
        <v/>
      </c>
      <c r="BU57" s="85">
        <f t="array" ref="BU57">SUMPRODUCT(IFERROR(--Projects[غير المخصص],0),--(Projects[القطاع]=$AU57),--(Projects[[الإدارة ]]=$AV57))</f>
        <v/>
      </c>
      <c r="BV57" s="88">
        <f>COUNTIFS(Special[اسم المشروع],"&lt;&gt;",Special[مشاريع سموه],"نعم",Special[القطاع],$AU57,Special[[الإدارة ]],$AV57&amp;"")</f>
        <v/>
      </c>
      <c r="BW57" s="89">
        <f>COUNTIFS(Special[اسم المشروع],"&lt;&gt;",Special[مشاريع سموه],"لا",Special[القطاع],$AU57,Special[[الإدارة ]],$AV57&amp;"")</f>
        <v/>
      </c>
      <c r="BX57" s="88">
        <f>BV57-BA57-BB57</f>
        <v/>
      </c>
      <c r="BY57" s="88">
        <f>BW57-BC57-BD57</f>
        <v/>
      </c>
      <c r="BZ57" s="88">
        <f>COUNTIFS(ECSAC[[الموضوع ]],"&lt;&gt;",ECSAC[تصنيف الموضوع],"الأجندة السنوية",ECSAC[القطاع],$AU57,ECSAC[الإدارة],$AV57&amp;"")</f>
        <v/>
      </c>
      <c r="CA57" s="88">
        <f>COUNTIFS(ECSAC[[الموضوع ]],"&lt;&gt;",ECSAC[تصنيف الموضوع],"مستجد",ECSAC[القطاع],$AU57,ECSAC[الإدارة],$AV57&amp;"")</f>
        <v/>
      </c>
      <c r="CB57" s="88">
        <f>COUNTIFS(ECSAC[مستوى الإنجاز],"قيد التطوير",ECSAC[القطاع],$AU57,ECSAC[الإدارة],$AV57&amp;"")+COUNTIFS(ECSAC[مستوى الإنجاز],"قيد المراجعة",ECSAC[القطاع],$AU57,ECSAC[الإدارة],$AV57&amp;"")</f>
        <v/>
      </c>
      <c r="CC57" s="88">
        <f>COUNTIFS(ECSAC[مستوى الإنجاز],"جاهز للعرض",ECSAC[القطاع],$AU57,ECSAC[الإدارة],$AV57&amp;"")</f>
        <v/>
      </c>
      <c r="CD57" s="88">
        <f t="array" ref="CD57">_xlfn.LET(
_xlpm.topic,IFERROR(Resolutions[الموضوع],""),
_xlpm.followup,TRIM(SUBSTITUTE(IFERROR(Resolutions[متطلبات المتابعة],""),CHAR(160)," ")),
_xlpm.itemStatus,TRIM(SUBSTITUTE(IFERROR(Resolutions[مستوى الإنجاز],""),CHAR(160)," ")),
_xlpm.sector,TRIM(SUBSTITUTE(IFERROR(Resolutions[القطاع],""),CHAR(160)," ")),
_xlpm.dept,TRIM(SUBSTITUTE(IFERROR(Resolutions[الإدارة],""),CHAR(160)," ")),
SUMPRODUCT(
--(_xlpm.topic&lt;&gt;""),
--(((_xlpm.followup="رسالة رسمية")+(_xlpm.followup="بريد من الوحدة التنظيمية"))&gt;0),
--(((_xlpm.itemStatus="قيد التطوير")+(_xlpm.itemStatus="قيد المراجعة"))&gt;0),
--(_xlpm.sector=TRIM(SUBSTITUTE($AU57,CHAR(160)," "))),
--(_xlpm.dept=TRIM(SUBSTITUTE($AV57,CHAR(160)," ")))
)
)</f>
        <v/>
      </c>
      <c r="CE57" s="88">
        <f>COUNTIFS(Projects[مستوى الإنجاز],"Active",Projects[القطاع],$AU57,Projects[[الإدارة ]],$AV57&amp;"")</f>
        <v/>
      </c>
      <c r="CF57" s="91">
        <f>COUNTIFS(Projects[مستوى الإنجاز],"Cancelled",Projects[القطاع],$AU57,Projects[[الإدارة ]],$AV57&amp;"")+COUNTIFS(Projects[مستوى الإنجاز],"Frozen",Projects[القطاع],$AU57,Projects[[الإدارة ]],$AV57&amp;"")</f>
        <v/>
      </c>
      <c r="CG57" s="88">
        <f>COUNTIFS(Projects[الربع],"Q1",Projects[القطاع],$AU57,Projects[[الإدارة ]],$AV57&amp;"")</f>
        <v/>
      </c>
      <c r="CH57" s="88">
        <f>COUNTIFS(Projects[الربع],"Q2",Projects[القطاع],$AU57,Projects[[الإدارة ]],$AV57&amp;"")</f>
        <v/>
      </c>
      <c r="CI57" s="88">
        <f>COUNTIFS(Projects[الربع],"Q3",Projects[القطاع],$AU57,Projects[[الإدارة ]],$AV57&amp;"")</f>
        <v/>
      </c>
      <c r="CJ57" s="88">
        <f>COUNTIFS(Projects[الربع],"Q4",Projects[القطاع],$AU57,Projects[[الإدارة ]],$AV57&amp;"")</f>
        <v/>
      </c>
    </row>
    <row r="58">
      <c r="AU58" s="85" t="inlineStr">
        <is>
          <t>الاتصال الحكومي وشؤون الأمانة العامة</t>
        </is>
      </c>
      <c r="AV58" s="85" t="n"/>
      <c r="AW58" s="85" t="inlineStr">
        <is>
          <t>الشهر الحالي</t>
        </is>
      </c>
      <c r="AX58" s="85">
        <f t="array" ref="AX58">_xlfn.LET(
_xlpm.results,Strategy[[نتيجة العام ]],
SUMPRODUCT(
--(Strategy[المؤشر]&lt;&gt;"")*
--ISNUMBER(_xlpm.results)*
--(_xlpm.results&lt;&gt;0)*
--(Strategy[القطاع]=($AU58&amp;""))*
--(Strategy[الإدارة]=($AV58&amp;""))
)
)</f>
        <v/>
      </c>
      <c r="AY58" s="85">
        <f>IFERROR(
AVERAGEIFS(
Strategy[[نتيجة العام ]],
Strategy[المؤشر],"&lt;&gt;",
Strategy[[نتيجة العام ]],"&lt;&gt;0",
Strategy[القطاع],$AU58&amp;"",
Strategy[الإدارة],$AV58&amp;""
),
""
)</f>
        <v/>
      </c>
      <c r="AZ58" s="85">
        <f>COUNTIFS(Special[اسم المشروع],"&lt;&gt;",Special[القطاع],$AU58&amp;"",Special[[الإدارة ]],$AV58&amp;"")</f>
        <v/>
      </c>
      <c r="BA58" s="85">
        <f>COUNTIFS(Special[مستوى الإنجاز],"منجز",Special[مشاريع سموه],"نعم",Special[القطاع],$AU58&amp;"",Special[[الإدارة ]],$AV58&amp;"")</f>
        <v/>
      </c>
      <c r="BB58" s="85">
        <f>COUNTIFS(Special[مستوى الإنجاز],"متأخر",Special[مشاريع سموه],"نعم",Special[القطاع],$AU58&amp;"",Special[[الإدارة ]],$AV58&amp;"")</f>
        <v/>
      </c>
      <c r="BC58" s="85">
        <f>COUNTIFS(Special[مستوى الإنجاز],"منجز",Special[مشاريع سموه],"لا",Special[القطاع],$AU58&amp;"",Special[[الإدارة ]],$AV58&amp;"")</f>
        <v/>
      </c>
      <c r="BD58" s="85">
        <f>COUNTIFS(Special[مستوى الإنجاز],"متأخر",Special[مشاريع سموه],"لا",Special[القطاع],$AU58&amp;"",Special[[الإدارة ]],$AV58&amp;"")</f>
        <v/>
      </c>
      <c r="BE58" s="85">
        <f>COUNTIFS(ECSAC[[الموضوع ]],"&lt;&gt;",ECSAC[القطاع],$AU58&amp;"",ECSAC[الإدارة],$AV58&amp;"")</f>
        <v/>
      </c>
      <c r="BF58" s="85">
        <f>COUNTIFS(ECSAC[مستوى الإنجاز],"منجز",ECSAC[القطاع],$AU58&amp;"",ECSAC[الإدارة],$AV58&amp;"")</f>
        <v/>
      </c>
      <c r="BG58" s="85">
        <f>COUNTIFS(ECSAC[مستوى الإنجاز],"متأخر",ECSAC[القطاع],$AU58&amp;"",ECSAC[الإدارة],$AV58&amp;"")</f>
        <v/>
      </c>
      <c r="BH58" s="85">
        <f t="array" ref="BH58">_xlfn.LET(
 _xlpm.topic,IFERROR(Resolutions[الموضوع],""),
 _xlpm.followup,TRIM(SUBSTITUTE(IFERROR(Resolutions[متطلبات المتابعة],""),CHAR(160),"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--(_xlpm.sector=TRIM(SUBSTITUTE($AU58,CHAR(160)," "))),
  --(_xlpm.dept=TRIM(SUBSTITUTE($AV58,CHAR(160)," ")))
 )
)</f>
        <v/>
      </c>
      <c r="BI58" s="85">
        <f t="array" ref="BI58">_xlfn.LET(
 _xlpm.topic,IFERROR(Resolutions[الموضوع],""),
 _xlpm.followup,TRIM(SUBSTITUTE(IFERROR(Resolutions[متطلبات المتابعة],""),CHAR(160)," ")),
 _xlpm.itemStatus,TRIM(SUBSTITUTE(IFERROR(Resolutions[مستوى الإنجاز],""),CHAR(160),"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--(_xlpm.itemStatus="منجز"),
  --(_xlpm.sector=TRIM(SUBSTITUTE($AU58,CHAR(160)," "))),
  --(_xlpm.dept=TRIM(SUBSTITUTE($AV58,CHAR(160)," ")))
 )
)</f>
        <v/>
      </c>
      <c r="BJ58" s="85">
        <f t="array" ref="BJ58">_xlfn.LET(
 _xlpm.topic,IFERROR(Resolutions[الموضوع],""),
 _xlpm.followup,TRIM(SUBSTITUTE(IFERROR(Resolutions[متطلبات المتابعة],""),CHAR(160)," ")),
 _xlpm.itemStatus,TRIM(SUBSTITUTE(IFERROR(Resolutions[مستوى الإنجاز],""),CHAR(160),"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--(_xlpm.itemStatus="متأخر"),
  --(_xlpm.sector=TRIM(SUBSTITUTE($AU58,CHAR(160)," "))),
  --(_xlpm.dept=TRIM(SUBSTITUTE($AV58,CHAR(160)," ")))
 )
)</f>
        <v/>
      </c>
      <c r="BK58" s="85">
        <f>COUNTIFS(Projects[اسم المشروع],"&lt;&gt;",Projects[القطاع],$AU58&amp;"",Projects[[الإدارة ]],$AV58&amp;"")</f>
        <v/>
      </c>
      <c r="BL58" s="85">
        <f>COUNTIFS(Projects[مستوى الإنجاز],"Completed",Projects[القطاع],$AU58&amp;"",Projects[[الإدارة ]],$AV58&amp;"")</f>
        <v/>
      </c>
      <c r="BM58" s="85">
        <f>COUNTIFS(Projects[Late KPI],"Late",Projects[القطاع],$AU58&amp;"",Projects[[الإدارة ]],$AV58&amp;"")</f>
        <v/>
      </c>
      <c r="BN58" s="85">
        <f>COUNTIFS(Legislations[[عنوان التشريع ]],"&lt;&gt;",Legislations[القطاع],$AU58&amp;"",Legislations[الإدارة],$AV58&amp;"")</f>
        <v/>
      </c>
      <c r="BO58" s="85">
        <f>COUNTIFS(Legislations[مؤشرات الأداء],"في الموعد",Legislations[تجاوز الموعد],"&lt;&gt;متأخر",Legislations[القطاع],$AU58&amp;"",Legislations[الإدارة],$AV58&amp;"")</f>
        <v/>
      </c>
      <c r="BP58" s="85">
        <f>COUNTIFS(Legislations[مؤشرات الأداء],"في الموعد",Legislations[تجاوز الموعد],"متأخر",Legislations[القطاع],$AU58&amp;"",Legislations[الإدارة],$AV58&amp;"")</f>
        <v/>
      </c>
      <c r="BQ58" s="85">
        <f>COUNTIFS(Legislations[Late KPI],"متأخر",Legislations[القطاع],$AU58&amp;"",Legislations[الإدارة],$AV58&amp;"")</f>
        <v/>
      </c>
      <c r="BR58" s="85">
        <f t="array" ref="BR58">SUMPRODUCT(IFERROR(--Projects[الموازنة المعتمدة الجديدة],0),--(Projects[القطاع]=$AU58),--(Projects[[الإدارة ]]=$AV58))</f>
        <v/>
      </c>
      <c r="BS58" s="85">
        <f t="array" ref="BS58">SUMPRODUCT(IFERROR(--Projects[المنفق الفعلي],0),--(Projects[القطاع]=$AU58),--(Projects[[الإدارة ]]=$AV58))</f>
        <v/>
      </c>
      <c r="BT58" s="85">
        <f t="array" ref="BT58">SUMPRODUCT(IFERROR(--Projects[المخصص],0),--(Projects[القطاع]=$AU58),--(Projects[[الإدارة ]]=$AV58))</f>
        <v/>
      </c>
      <c r="BU58" s="85">
        <f t="array" ref="BU58">SUMPRODUCT(IFERROR(--Projects[غير المخصص],0),--(Projects[القطاع]=$AU58),--(Projects[[الإدارة ]]=$AV58))</f>
        <v/>
      </c>
      <c r="BV58" s="88">
        <f>COUNTIFS(Special[اسم المشروع],"&lt;&gt;",Special[مشاريع سموه],"نعم",Special[القطاع],$AU58,Special[[الإدارة ]],$AV58&amp;"")</f>
        <v/>
      </c>
      <c r="BW58" s="89">
        <f>COUNTIFS(Special[اسم المشروع],"&lt;&gt;",Special[مشاريع سموه],"لا",Special[القطاع],$AU58,Special[[الإدارة ]],$AV58&amp;"")</f>
        <v/>
      </c>
      <c r="BX58" s="88">
        <f>BV58-BA58-BB58</f>
        <v/>
      </c>
      <c r="BY58" s="88">
        <f>BW58-BC58-BD58</f>
        <v/>
      </c>
      <c r="BZ58" s="88">
        <f>COUNTIFS(ECSAC[[الموضوع ]],"&lt;&gt;",ECSAC[تصنيف الموضوع],"الأجندة السنوية",ECSAC[القطاع],$AU58,ECSAC[الإدارة],$AV58&amp;"")</f>
        <v/>
      </c>
      <c r="CA58" s="88">
        <f>COUNTIFS(ECSAC[[الموضوع ]],"&lt;&gt;",ECSAC[تصنيف الموضوع],"مستجد",ECSAC[القطاع],$AU58,ECSAC[الإدارة],$AV58&amp;"")</f>
        <v/>
      </c>
      <c r="CB58" s="88">
        <f>COUNTIFS(ECSAC[مستوى الإنجاز],"قيد التطوير",ECSAC[القطاع],$AU58,ECSAC[الإدارة],$AV58&amp;"")+COUNTIFS(ECSAC[مستوى الإنجاز],"قيد المراجعة",ECSAC[القطاع],$AU58,ECSAC[الإدارة],$AV58&amp;"")</f>
        <v/>
      </c>
      <c r="CC58" s="88">
        <f>COUNTIFS(ECSAC[مستوى الإنجاز],"جاهز للعرض",ECSAC[القطاع],$AU58,ECSAC[الإدارة],$AV58&amp;"")</f>
        <v/>
      </c>
      <c r="CD58" s="88">
        <f t="array" ref="CD58">_xlfn.LET(
_xlpm.topic,IFERROR(Resolutions[الموضوع],""),
_xlpm.followup,TRIM(SUBSTITUTE(IFERROR(Resolutions[متطلبات المتابعة],""),CHAR(160)," ")),
_xlpm.itemStatus,TRIM(SUBSTITUTE(IFERROR(Resolutions[مستوى الإنجاز],""),CHAR(160)," ")),
_xlpm.sector,TRIM(SUBSTITUTE(IFERROR(Resolutions[القطاع],""),CHAR(160)," ")),
_xlpm.dept,TRIM(SUBSTITUTE(IFERROR(Resolutions[الإدارة],""),CHAR(160)," ")),
SUMPRODUCT(
--(_xlpm.topic&lt;&gt;""),
--(((_xlpm.followup="رسالة رسمية")+(_xlpm.followup="بريد من الوحدة التنظيمية"))&gt;0),
--(((_xlpm.itemStatus="قيد التطوير")+(_xlpm.itemStatus="قيد المراجعة"))&gt;0),
--(_xlpm.sector=TRIM(SUBSTITUTE($AU58,CHAR(160)," "))),
--(_xlpm.dept=TRIM(SUBSTITUTE($AV58,CHAR(160)," ")))
)
)</f>
        <v/>
      </c>
      <c r="CE58" s="88">
        <f>COUNTIFS(Projects[مستوى الإنجاز],"Active",Projects[القطاع],$AU58,Projects[[الإدارة ]],$AV58&amp;"")</f>
        <v/>
      </c>
      <c r="CF58" s="91">
        <f>COUNTIFS(Projects[مستوى الإنجاز],"Cancelled",Projects[القطاع],$AU58,Projects[[الإدارة ]],$AV58&amp;"")+COUNTIFS(Projects[مستوى الإنجاز],"Frozen",Projects[القطاع],$AU58,Projects[[الإدارة ]],$AV58&amp;"")</f>
        <v/>
      </c>
      <c r="CG58" s="88">
        <f>COUNTIFS(Projects[الربع],"Q1",Projects[القطاع],$AU58,Projects[[الإدارة ]],$AV58&amp;"")</f>
        <v/>
      </c>
      <c r="CH58" s="88">
        <f>COUNTIFS(Projects[الربع],"Q2",Projects[القطاع],$AU58,Projects[[الإدارة ]],$AV58&amp;"")</f>
        <v/>
      </c>
      <c r="CI58" s="88">
        <f>COUNTIFS(Projects[الربع],"Q3",Projects[القطاع],$AU58,Projects[[الإدارة ]],$AV58&amp;"")</f>
        <v/>
      </c>
      <c r="CJ58" s="88">
        <f>COUNTIFS(Projects[الربع],"Q4",Projects[القطاع],$AU58,Projects[[الإدارة ]],$AV58&amp;"")</f>
        <v/>
      </c>
    </row>
    <row r="59">
      <c r="AU59" s="85" t="inlineStr">
        <is>
          <t>الاتصال الحكومي وشؤون الأمانة العامة</t>
        </is>
      </c>
      <c r="AV59" s="85" t="inlineStr">
        <is>
          <t>الاتصال الحكومي</t>
        </is>
      </c>
      <c r="AW59" s="85" t="inlineStr">
        <is>
          <t>الشهر الحالي</t>
        </is>
      </c>
      <c r="AX59" s="85">
        <f t="array" ref="AX59">_xlfn.LET(
_xlpm.results,Strategy[[نتيجة العام ]],
SUMPRODUCT(
--(Strategy[المؤشر]&lt;&gt;"")*
--ISNUMBER(_xlpm.results)*
--(_xlpm.results&lt;&gt;0)*
--(Strategy[القطاع]=($AU59&amp;""))*
--(Strategy[الإدارة]=($AV59&amp;""))
)
)</f>
        <v/>
      </c>
      <c r="AY59" s="85">
        <f>IFERROR(
AVERAGEIFS(
Strategy[[نتيجة العام ]],
Strategy[المؤشر],"&lt;&gt;",
Strategy[[نتيجة العام ]],"&lt;&gt;0",
Strategy[القطاع],$AU59&amp;"",
Strategy[الإدارة],$AV59&amp;""
),
""
)</f>
        <v/>
      </c>
      <c r="AZ59" s="85">
        <f>COUNTIFS(Special[اسم المشروع],"&lt;&gt;",Special[القطاع],$AU59&amp;"",Special[[الإدارة ]],$AV59&amp;"")</f>
        <v/>
      </c>
      <c r="BA59" s="85">
        <f>COUNTIFS(Special[مستوى الإنجاز],"منجز",Special[مشاريع سموه],"نعم",Special[القطاع],$AU59&amp;"",Special[[الإدارة ]],$AV59&amp;"")</f>
        <v/>
      </c>
      <c r="BB59" s="85">
        <f>COUNTIFS(Special[مستوى الإنجاز],"متأخر",Special[مشاريع سموه],"نعم",Special[القطاع],$AU59&amp;"",Special[[الإدارة ]],$AV59&amp;"")</f>
        <v/>
      </c>
      <c r="BC59" s="85">
        <f>COUNTIFS(Special[مستوى الإنجاز],"منجز",Special[مشاريع سموه],"لا",Special[القطاع],$AU59&amp;"",Special[[الإدارة ]],$AV59&amp;"")</f>
        <v/>
      </c>
      <c r="BD59" s="85">
        <f>COUNTIFS(Special[مستوى الإنجاز],"متأخر",Special[مشاريع سموه],"لا",Special[القطاع],$AU59&amp;"",Special[[الإدارة ]],$AV59&amp;"")</f>
        <v/>
      </c>
      <c r="BE59" s="85">
        <f>COUNTIFS(ECSAC[[الموضوع ]],"&lt;&gt;",ECSAC[القطاع],$AU59&amp;"",ECSAC[الإدارة],$AV59&amp;"")</f>
        <v/>
      </c>
      <c r="BF59" s="85">
        <f>COUNTIFS(ECSAC[مستوى الإنجاز],"منجز",ECSAC[القطاع],$AU59&amp;"",ECSAC[الإدارة],$AV59&amp;"")</f>
        <v/>
      </c>
      <c r="BG59" s="85">
        <f>COUNTIFS(ECSAC[مستوى الإنجاز],"متأخر",ECSAC[القطاع],$AU59&amp;"",ECSAC[الإدارة],$AV59&amp;"")</f>
        <v/>
      </c>
      <c r="BH59" s="85">
        <f t="array" ref="BH59">_xlfn.LET(
 _xlpm.topic,IFERROR(Resolutions[الموضوع],""),
 _xlpm.followup,TRIM(SUBSTITUTE(IFERROR(Resolutions[متطلبات المتابعة],""),CHAR(160),"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--(_xlpm.sector=TRIM(SUBSTITUTE($AU59,CHAR(160)," "))),
  --(_xlpm.dept=TRIM(SUBSTITUTE($AV59,CHAR(160)," ")))
 )
)</f>
        <v/>
      </c>
      <c r="BI59" s="85">
        <f t="array" ref="BI59">_xlfn.LET(
 _xlpm.topic,IFERROR(Resolutions[الموضوع],""),
 _xlpm.followup,TRIM(SUBSTITUTE(IFERROR(Resolutions[متطلبات المتابعة],""),CHAR(160)," ")),
 _xlpm.itemStatus,TRIM(SUBSTITUTE(IFERROR(Resolutions[مستوى الإنجاز],""),CHAR(160),"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--(_xlpm.itemStatus="منجز"),
  --(_xlpm.sector=TRIM(SUBSTITUTE($AU59,CHAR(160)," "))),
  --(_xlpm.dept=TRIM(SUBSTITUTE($AV59,CHAR(160)," ")))
 )
)</f>
        <v/>
      </c>
      <c r="BJ59" s="85">
        <f t="array" ref="BJ59">_xlfn.LET(
 _xlpm.topic,IFERROR(Resolutions[الموضوع],""),
 _xlpm.followup,TRIM(SUBSTITUTE(IFERROR(Resolutions[متطلبات المتابعة],""),CHAR(160)," ")),
 _xlpm.itemStatus,TRIM(SUBSTITUTE(IFERROR(Resolutions[مستوى الإنجاز],""),CHAR(160),"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--(_xlpm.itemStatus="متأخر"),
  --(_xlpm.sector=TRIM(SUBSTITUTE($AU59,CHAR(160)," "))),
  --(_xlpm.dept=TRIM(SUBSTITUTE($AV59,CHAR(160)," ")))
 )
)</f>
        <v/>
      </c>
      <c r="BK59" s="85">
        <f>COUNTIFS(Projects[اسم المشروع],"&lt;&gt;",Projects[القطاع],$AU59&amp;"",Projects[[الإدارة ]],$AV59&amp;"")</f>
        <v/>
      </c>
      <c r="BL59" s="85">
        <f>COUNTIFS(Projects[مستوى الإنجاز],"Completed",Projects[القطاع],$AU59&amp;"",Projects[[الإدارة ]],$AV59&amp;"")</f>
        <v/>
      </c>
      <c r="BM59" s="85">
        <f>COUNTIFS(Projects[Late KPI],"Late",Projects[القطاع],$AU59&amp;"",Projects[[الإدارة ]],$AV59&amp;"")</f>
        <v/>
      </c>
      <c r="BN59" s="85">
        <f>COUNTIFS(Legislations[[عنوان التشريع ]],"&lt;&gt;",Legislations[القطاع],$AU59&amp;"",Legislations[الإدارة],$AV59&amp;"")</f>
        <v/>
      </c>
      <c r="BO59" s="85">
        <f>COUNTIFS(Legislations[مؤشرات الأداء],"في الموعد",Legislations[تجاوز الموعد],"&lt;&gt;متأخر",Legislations[القطاع],$AU59&amp;"",Legislations[الإدارة],$AV59&amp;"")</f>
        <v/>
      </c>
      <c r="BP59" s="85">
        <f>COUNTIFS(Legislations[مؤشرات الأداء],"في الموعد",Legislations[تجاوز الموعد],"متأخر",Legislations[القطاع],$AU59&amp;"",Legislations[الإدارة],$AV59&amp;"")</f>
        <v/>
      </c>
      <c r="BQ59" s="85">
        <f>COUNTIFS(Legislations[Late KPI],"متأخر",Legislations[القطاع],$AU59&amp;"",Legislations[الإدارة],$AV59&amp;"")</f>
        <v/>
      </c>
      <c r="BR59" s="85">
        <f t="array" ref="BR59">SUMPRODUCT(IFERROR(--Projects[الموازنة المعتمدة الجديدة],0),--(Projects[القطاع]=$AU59),--(Projects[[الإدارة ]]=$AV59))</f>
        <v/>
      </c>
      <c r="BS59" s="85">
        <f t="array" ref="BS59">SUMPRODUCT(IFERROR(--Projects[المنفق الفعلي],0),--(Projects[القطاع]=$AU59),--(Projects[[الإدارة ]]=$AV59))</f>
        <v/>
      </c>
      <c r="BT59" s="85">
        <f t="array" ref="BT59">SUMPRODUCT(IFERROR(--Projects[المخصص],0),--(Projects[القطاع]=$AU59),--(Projects[[الإدارة ]]=$AV59))</f>
        <v/>
      </c>
      <c r="BU59" s="85">
        <f t="array" ref="BU59">SUMPRODUCT(IFERROR(--Projects[غير المخصص],0),--(Projects[القطاع]=$AU59),--(Projects[[الإدارة ]]=$AV59))</f>
        <v/>
      </c>
      <c r="BV59" s="88">
        <f>COUNTIFS(Special[اسم المشروع],"&lt;&gt;",Special[مشاريع سموه],"نعم",Special[القطاع],$AU59,Special[[الإدارة ]],$AV59&amp;"")</f>
        <v/>
      </c>
      <c r="BW59" s="89">
        <f>COUNTIFS(Special[اسم المشروع],"&lt;&gt;",Special[مشاريع سموه],"لا",Special[القطاع],$AU59,Special[[الإدارة ]],$AV59&amp;"")</f>
        <v/>
      </c>
      <c r="BX59" s="88">
        <f>BV59-BA59-BB59</f>
        <v/>
      </c>
      <c r="BY59" s="88">
        <f>BW59-BC59-BD59</f>
        <v/>
      </c>
      <c r="BZ59" s="88">
        <f>COUNTIFS(ECSAC[[الموضوع ]],"&lt;&gt;",ECSAC[تصنيف الموضوع],"الأجندة السنوية",ECSAC[القطاع],$AU59,ECSAC[الإدارة],$AV59&amp;"")</f>
        <v/>
      </c>
      <c r="CA59" s="88">
        <f>COUNTIFS(ECSAC[[الموضوع ]],"&lt;&gt;",ECSAC[تصنيف الموضوع],"مستجد",ECSAC[القطاع],$AU59,ECSAC[الإدارة],$AV59&amp;"")</f>
        <v/>
      </c>
      <c r="CB59" s="88">
        <f>COUNTIFS(ECSAC[مستوى الإنجاز],"قيد التطوير",ECSAC[القطاع],$AU59,ECSAC[الإدارة],$AV59&amp;"")+COUNTIFS(ECSAC[مستوى الإنجاز],"قيد المراجعة",ECSAC[القطاع],$AU59,ECSAC[الإدارة],$AV59&amp;"")</f>
        <v/>
      </c>
      <c r="CC59" s="88">
        <f>COUNTIFS(ECSAC[مستوى الإنجاز],"جاهز للعرض",ECSAC[القطاع],$AU59,ECSAC[الإدارة],$AV59&amp;"")</f>
        <v/>
      </c>
      <c r="CD59" s="88">
        <f t="array" ref="CD59">_xlfn.LET(
_xlpm.topic,IFERROR(Resolutions[الموضوع],""),
_xlpm.followup,TRIM(SUBSTITUTE(IFERROR(Resolutions[متطلبات المتابعة],""),CHAR(160)," ")),
_xlpm.itemStatus,TRIM(SUBSTITUTE(IFERROR(Resolutions[مستوى الإنجاز],""),CHAR(160)," ")),
_xlpm.sector,TRIM(SUBSTITUTE(IFERROR(Resolutions[القطاع],""),CHAR(160)," ")),
_xlpm.dept,TRIM(SUBSTITUTE(IFERROR(Resolutions[الإدارة],""),CHAR(160)," ")),
SUMPRODUCT(
--(_xlpm.topic&lt;&gt;""),
--(((_xlpm.followup="رسالة رسمية")+(_xlpm.followup="بريد من الوحدة التنظيمية"))&gt;0),
--(((_xlpm.itemStatus="قيد التطوير")+(_xlpm.itemStatus="قيد المراجعة"))&gt;0),
--(_xlpm.sector=TRIM(SUBSTITUTE($AU59,CHAR(160)," "))),
--(_xlpm.dept=TRIM(SUBSTITUTE($AV59,CHAR(160)," ")))
)
)</f>
        <v/>
      </c>
      <c r="CE59" s="88">
        <f>COUNTIFS(Projects[مستوى الإنجاز],"Active",Projects[القطاع],$AU59,Projects[[الإدارة ]],$AV59&amp;"")</f>
        <v/>
      </c>
      <c r="CF59" s="91">
        <f>COUNTIFS(Projects[مستوى الإنجاز],"Cancelled",Projects[القطاع],$AU59,Projects[[الإدارة ]],$AV59&amp;"")+COUNTIFS(Projects[مستوى الإنجاز],"Frozen",Projects[القطاع],$AU59,Projects[[الإدارة ]],$AV59&amp;"")</f>
        <v/>
      </c>
      <c r="CG59" s="88">
        <f>COUNTIFS(Projects[الربع],"Q1",Projects[القطاع],$AU59,Projects[[الإدارة ]],$AV59&amp;"")</f>
        <v/>
      </c>
      <c r="CH59" s="88">
        <f>COUNTIFS(Projects[الربع],"Q2",Projects[القطاع],$AU59,Projects[[الإدارة ]],$AV59&amp;"")</f>
        <v/>
      </c>
      <c r="CI59" s="88">
        <f>COUNTIFS(Projects[الربع],"Q3",Projects[القطاع],$AU59,Projects[[الإدارة ]],$AV59&amp;"")</f>
        <v/>
      </c>
      <c r="CJ59" s="88">
        <f>COUNTIFS(Projects[الربع],"Q4",Projects[القطاع],$AU59,Projects[[الإدارة ]],$AV59&amp;"")</f>
        <v/>
      </c>
    </row>
    <row r="60">
      <c r="AU60" s="85" t="inlineStr">
        <is>
          <t>الاتصال الحكومي وشؤون الأمانة العامة</t>
        </is>
      </c>
      <c r="AV60" s="85" t="inlineStr">
        <is>
          <t>الخدمات المؤسسية</t>
        </is>
      </c>
      <c r="AW60" s="85" t="inlineStr">
        <is>
          <t>الشهر الحالي</t>
        </is>
      </c>
      <c r="AX60" s="85">
        <f t="array" ref="AX60">_xlfn.LET(
_xlpm.results,Strategy[[نتيجة العام ]],
SUMPRODUCT(
--(Strategy[المؤشر]&lt;&gt;"")*
--ISNUMBER(_xlpm.results)*
--(_xlpm.results&lt;&gt;0)*
--(Strategy[القطاع]=($AU60&amp;""))*
--(Strategy[الإدارة]=($AV60&amp;""))
)
)</f>
        <v/>
      </c>
      <c r="AY60" s="85">
        <f>IFERROR(
AVERAGEIFS(
Strategy[[نتيجة العام ]],
Strategy[المؤشر],"&lt;&gt;",
Strategy[[نتيجة العام ]],"&lt;&gt;0",
Strategy[القطاع],$AU60&amp;"",
Strategy[الإدارة],$AV60&amp;""
),
""
)</f>
        <v/>
      </c>
      <c r="AZ60" s="85">
        <f>COUNTIFS(Special[اسم المشروع],"&lt;&gt;",Special[القطاع],$AU60&amp;"",Special[[الإدارة ]],$AV60&amp;"")</f>
        <v/>
      </c>
      <c r="BA60" s="85">
        <f>COUNTIFS(Special[مستوى الإنجاز],"منجز",Special[مشاريع سموه],"نعم",Special[القطاع],$AU60&amp;"",Special[[الإدارة ]],$AV60&amp;"")</f>
        <v/>
      </c>
      <c r="BB60" s="85">
        <f>COUNTIFS(Special[مستوى الإنجاز],"متأخر",Special[مشاريع سموه],"نعم",Special[القطاع],$AU60&amp;"",Special[[الإدارة ]],$AV60&amp;"")</f>
        <v/>
      </c>
      <c r="BC60" s="85">
        <f>COUNTIFS(Special[مستوى الإنجاز],"منجز",Special[مشاريع سموه],"لا",Special[القطاع],$AU60&amp;"",Special[[الإدارة ]],$AV60&amp;"")</f>
        <v/>
      </c>
      <c r="BD60" s="85">
        <f>COUNTIFS(Special[مستوى الإنجاز],"متأخر",Special[مشاريع سموه],"لا",Special[القطاع],$AU60&amp;"",Special[[الإدارة ]],$AV60&amp;"")</f>
        <v/>
      </c>
      <c r="BE60" s="85">
        <f>COUNTIFS(ECSAC[[الموضوع ]],"&lt;&gt;",ECSAC[القطاع],$AU60&amp;"",ECSAC[الإدارة],$AV60&amp;"")</f>
        <v/>
      </c>
      <c r="BF60" s="85">
        <f>COUNTIFS(ECSAC[مستوى الإنجاز],"منجز",ECSAC[القطاع],$AU60&amp;"",ECSAC[الإدارة],$AV60&amp;"")</f>
        <v/>
      </c>
      <c r="BG60" s="85">
        <f>COUNTIFS(ECSAC[مستوى الإنجاز],"متأخر",ECSAC[القطاع],$AU60&amp;"",ECSAC[الإدارة],$AV60&amp;"")</f>
        <v/>
      </c>
      <c r="BH60" s="85">
        <f t="array" ref="BH60">_xlfn.LET(
 _xlpm.topic,IFERROR(Resolutions[الموضوع],""),
 _xlpm.followup,TRIM(SUBSTITUTE(IFERROR(Resolutions[متطلبات المتابعة],""),CHAR(160),"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--(_xlpm.sector=TRIM(SUBSTITUTE($AU60,CHAR(160)," "))),
  --(_xlpm.dept=TRIM(SUBSTITUTE($AV60,CHAR(160)," ")))
 )
)</f>
        <v/>
      </c>
      <c r="BI60" s="85">
        <f t="array" ref="BI60">_xlfn.LET(
 _xlpm.topic,IFERROR(Resolutions[الموضوع],""),
 _xlpm.followup,TRIM(SUBSTITUTE(IFERROR(Resolutions[متطلبات المتابعة],""),CHAR(160)," ")),
 _xlpm.itemStatus,TRIM(SUBSTITUTE(IFERROR(Resolutions[مستوى الإنجاز],""),CHAR(160),"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--(_xlpm.itemStatus="منجز"),
  --(_xlpm.sector=TRIM(SUBSTITUTE($AU60,CHAR(160)," "))),
  --(_xlpm.dept=TRIM(SUBSTITUTE($AV60,CHAR(160)," ")))
 )
)</f>
        <v/>
      </c>
      <c r="BJ60" s="85">
        <f t="array" ref="BJ60">_xlfn.LET(
 _xlpm.topic,IFERROR(Resolutions[الموضوع],""),
 _xlpm.followup,TRIM(SUBSTITUTE(IFERROR(Resolutions[متطلبات المتابعة],""),CHAR(160)," ")),
 _xlpm.itemStatus,TRIM(SUBSTITUTE(IFERROR(Resolutions[مستوى الإنجاز],""),CHAR(160),"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--(_xlpm.itemStatus="متأخر"),
  --(_xlpm.sector=TRIM(SUBSTITUTE($AU60,CHAR(160)," "))),
  --(_xlpm.dept=TRIM(SUBSTITUTE($AV60,CHAR(160)," ")))
 )
)</f>
        <v/>
      </c>
      <c r="BK60" s="85">
        <f>COUNTIFS(Projects[اسم المشروع],"&lt;&gt;",Projects[القطاع],$AU60&amp;"",Projects[[الإدارة ]],$AV60&amp;"")</f>
        <v/>
      </c>
      <c r="BL60" s="85">
        <f>COUNTIFS(Projects[مستوى الإنجاز],"Completed",Projects[القطاع],$AU60&amp;"",Projects[[الإدارة ]],$AV60&amp;"")</f>
        <v/>
      </c>
      <c r="BM60" s="85">
        <f>COUNTIFS(Projects[Late KPI],"Late",Projects[القطاع],$AU60&amp;"",Projects[[الإدارة ]],$AV60&amp;"")</f>
        <v/>
      </c>
      <c r="BN60" s="85">
        <f>COUNTIFS(Legislations[[عنوان التشريع ]],"&lt;&gt;",Legislations[القطاع],$AU60&amp;"",Legislations[الإدارة],$AV60&amp;"")</f>
        <v/>
      </c>
      <c r="BO60" s="85">
        <f>COUNTIFS(Legislations[مؤشرات الأداء],"في الموعد",Legislations[تجاوز الموعد],"&lt;&gt;متأخر",Legislations[القطاع],$AU60&amp;"",Legislations[الإدارة],$AV60&amp;"")</f>
        <v/>
      </c>
      <c r="BP60" s="85">
        <f>COUNTIFS(Legislations[مؤشرات الأداء],"في الموعد",Legislations[تجاوز الموعد],"متأخر",Legislations[القطاع],$AU60&amp;"",Legislations[الإدارة],$AV60&amp;"")</f>
        <v/>
      </c>
      <c r="BQ60" s="85">
        <f>COUNTIFS(Legislations[Late KPI],"متأخر",Legislations[القطاع],$AU60&amp;"",Legislations[الإدارة],$AV60&amp;"")</f>
        <v/>
      </c>
      <c r="BR60" s="85">
        <f t="array" ref="BR60">SUMPRODUCT(IFERROR(--Projects[الموازنة المعتمدة الجديدة],0),--(Projects[القطاع]=$AU60),--(Projects[[الإدارة ]]=$AV60))</f>
        <v/>
      </c>
      <c r="BS60" s="85">
        <f t="array" ref="BS60">SUMPRODUCT(IFERROR(--Projects[المنفق الفعلي],0),--(Projects[القطاع]=$AU60),--(Projects[[الإدارة ]]=$AV60))</f>
        <v/>
      </c>
      <c r="BT60" s="85">
        <f t="array" ref="BT60">SUMPRODUCT(IFERROR(--Projects[المخصص],0),--(Projects[القطاع]=$AU60),--(Projects[[الإدارة ]]=$AV60))</f>
        <v/>
      </c>
      <c r="BU60" s="85">
        <f t="array" ref="BU60">SUMPRODUCT(IFERROR(--Projects[غير المخصص],0),--(Projects[القطاع]=$AU60),--(Projects[[الإدارة ]]=$AV60))</f>
        <v/>
      </c>
      <c r="BV60" s="88">
        <f>COUNTIFS(Special[اسم المشروع],"&lt;&gt;",Special[مشاريع سموه],"نعم",Special[القطاع],$AU60,Special[[الإدارة ]],$AV60&amp;"")</f>
        <v/>
      </c>
      <c r="BW60" s="89">
        <f>COUNTIFS(Special[اسم المشروع],"&lt;&gt;",Special[مشاريع سموه],"لا",Special[القطاع],$AU60,Special[[الإدارة ]],$AV60&amp;"")</f>
        <v/>
      </c>
      <c r="BX60" s="88">
        <f>BV60-BA60-BB60</f>
        <v/>
      </c>
      <c r="BY60" s="88">
        <f>BW60-BC60-BD60</f>
        <v/>
      </c>
      <c r="BZ60" s="88">
        <f>COUNTIFS(ECSAC[[الموضوع ]],"&lt;&gt;",ECSAC[تصنيف الموضوع],"الأجندة السنوية",ECSAC[القطاع],$AU60,ECSAC[الإدارة],$AV60&amp;"")</f>
        <v/>
      </c>
      <c r="CA60" s="88">
        <f>COUNTIFS(ECSAC[[الموضوع ]],"&lt;&gt;",ECSAC[تصنيف الموضوع],"مستجد",ECSAC[القطاع],$AU60,ECSAC[الإدارة],$AV60&amp;"")</f>
        <v/>
      </c>
      <c r="CB60" s="88">
        <f>COUNTIFS(ECSAC[مستوى الإنجاز],"قيد التطوير",ECSAC[القطاع],$AU60,ECSAC[الإدارة],$AV60&amp;"")+COUNTIFS(ECSAC[مستوى الإنجاز],"قيد المراجعة",ECSAC[القطاع],$AU60,ECSAC[الإدارة],$AV60&amp;"")</f>
        <v/>
      </c>
      <c r="CC60" s="88">
        <f>COUNTIFS(ECSAC[مستوى الإنجاز],"جاهز للعرض",ECSAC[القطاع],$AU60,ECSAC[الإدارة],$AV60&amp;"")</f>
        <v/>
      </c>
      <c r="CD60" s="88">
        <f t="array" ref="CD60">_xlfn.LET(
_xlpm.topic,IFERROR(Resolutions[الموضوع],""),
_xlpm.followup,TRIM(SUBSTITUTE(IFERROR(Resolutions[متطلبات المتابعة],""),CHAR(160)," ")),
_xlpm.itemStatus,TRIM(SUBSTITUTE(IFERROR(Resolutions[مستوى الإنجاز],""),CHAR(160)," ")),
_xlpm.sector,TRIM(SUBSTITUTE(IFERROR(Resolutions[القطاع],""),CHAR(160)," ")),
_xlpm.dept,TRIM(SUBSTITUTE(IFERROR(Resolutions[الإدارة],""),CHAR(160)," ")),
SUMPRODUCT(
--(_xlpm.topic&lt;&gt;""),
--(((_xlpm.followup="رسالة رسمية")+(_xlpm.followup="بريد من الوحدة التنظيمية"))&gt;0),
--(((_xlpm.itemStatus="قيد التطوير")+(_xlpm.itemStatus="قيد المراجعة"))&gt;0),
--(_xlpm.sector=TRIM(SUBSTITUTE($AU60,CHAR(160)," "))),
--(_xlpm.dept=TRIM(SUBSTITUTE($AV60,CHAR(160)," ")))
)
)</f>
        <v/>
      </c>
      <c r="CE60" s="88">
        <f>COUNTIFS(Projects[مستوى الإنجاز],"Active",Projects[القطاع],$AU60,Projects[[الإدارة ]],$AV60&amp;"")</f>
        <v/>
      </c>
      <c r="CF60" s="91">
        <f>COUNTIFS(Projects[مستوى الإنجاز],"Cancelled",Projects[القطاع],$AU60,Projects[[الإدارة ]],$AV60&amp;"")+COUNTIFS(Projects[مستوى الإنجاز],"Frozen",Projects[القطاع],$AU60,Projects[[الإدارة ]],$AV60&amp;"")</f>
        <v/>
      </c>
      <c r="CG60" s="88">
        <f>COUNTIFS(Projects[الربع],"Q1",Projects[القطاع],$AU60,Projects[[الإدارة ]],$AV60&amp;"")</f>
        <v/>
      </c>
      <c r="CH60" s="88">
        <f>COUNTIFS(Projects[الربع],"Q2",Projects[القطاع],$AU60,Projects[[الإدارة ]],$AV60&amp;"")</f>
        <v/>
      </c>
      <c r="CI60" s="88">
        <f>COUNTIFS(Projects[الربع],"Q3",Projects[القطاع],$AU60,Projects[[الإدارة ]],$AV60&amp;"")</f>
        <v/>
      </c>
      <c r="CJ60" s="88">
        <f>COUNTIFS(Projects[الربع],"Q4",Projects[القطاع],$AU60,Projects[[الإدارة ]],$AV60&amp;"")</f>
        <v/>
      </c>
    </row>
    <row r="61">
      <c r="AU61" s="85" t="inlineStr">
        <is>
          <t>الاتصال الحكومي وشؤون الأمانة العامة</t>
        </is>
      </c>
      <c r="AV61" s="85" t="inlineStr">
        <is>
          <t>تميز الموارد البشرية</t>
        </is>
      </c>
      <c r="AW61" s="85" t="inlineStr">
        <is>
          <t>الشهر الحالي</t>
        </is>
      </c>
      <c r="AX61" s="85">
        <f t="array" ref="AX61">_xlfn.LET(
_xlpm.results,Strategy[[نتيجة العام ]],
SUMPRODUCT(
--(Strategy[المؤشر]&lt;&gt;"")*
--ISNUMBER(_xlpm.results)*
--(_xlpm.results&lt;&gt;0)*
--(Strategy[القطاع]=($AU61&amp;""))*
--(Strategy[الإدارة]=($AV61&amp;""))
)
)</f>
        <v/>
      </c>
      <c r="AY61" s="85">
        <f>IFERROR(
AVERAGEIFS(
Strategy[[نتيجة العام ]],
Strategy[المؤشر],"&lt;&gt;",
Strategy[[نتيجة العام ]],"&lt;&gt;0",
Strategy[القطاع],$AU61&amp;"",
Strategy[الإدارة],$AV61&amp;""
),
""
)</f>
        <v/>
      </c>
      <c r="AZ61" s="85">
        <f>COUNTIFS(Special[اسم المشروع],"&lt;&gt;",Special[القطاع],$AU61&amp;"",Special[[الإدارة ]],$AV61&amp;"")</f>
        <v/>
      </c>
      <c r="BA61" s="85">
        <f>COUNTIFS(Special[مستوى الإنجاز],"منجز",Special[مشاريع سموه],"نعم",Special[القطاع],$AU61&amp;"",Special[[الإدارة ]],$AV61&amp;"")</f>
        <v/>
      </c>
      <c r="BB61" s="85">
        <f>COUNTIFS(Special[مستوى الإنجاز],"متأخر",Special[مشاريع سموه],"نعم",Special[القطاع],$AU61&amp;"",Special[[الإدارة ]],$AV61&amp;"")</f>
        <v/>
      </c>
      <c r="BC61" s="85">
        <f>COUNTIFS(Special[مستوى الإنجاز],"منجز",Special[مشاريع سموه],"لا",Special[القطاع],$AU61&amp;"",Special[[الإدارة ]],$AV61&amp;"")</f>
        <v/>
      </c>
      <c r="BD61" s="85">
        <f>COUNTIFS(Special[مستوى الإنجاز],"متأخر",Special[مشاريع سموه],"لا",Special[القطاع],$AU61&amp;"",Special[[الإدارة ]],$AV61&amp;"")</f>
        <v/>
      </c>
      <c r="BE61" s="85">
        <f>COUNTIFS(ECSAC[[الموضوع ]],"&lt;&gt;",ECSAC[القطاع],$AU61&amp;"",ECSAC[الإدارة],$AV61&amp;"")</f>
        <v/>
      </c>
      <c r="BF61" s="85">
        <f>COUNTIFS(ECSAC[مستوى الإنجاز],"منجز",ECSAC[القطاع],$AU61&amp;"",ECSAC[الإدارة],$AV61&amp;"")</f>
        <v/>
      </c>
      <c r="BG61" s="85">
        <f>COUNTIFS(ECSAC[مستوى الإنجاز],"متأخر",ECSAC[القطاع],$AU61&amp;"",ECSAC[الإدارة],$AV61&amp;"")</f>
        <v/>
      </c>
      <c r="BH61" s="85">
        <f t="array" ref="BH61">_xlfn.LET(
 _xlpm.topic,IFERROR(Resolutions[الموضوع],""),
 _xlpm.followup,TRIM(SUBSTITUTE(IFERROR(Resolutions[متطلبات المتابعة],""),CHAR(160),"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--(_xlpm.sector=TRIM(SUBSTITUTE($AU61,CHAR(160)," "))),
  --(_xlpm.dept=TRIM(SUBSTITUTE($AV61,CHAR(160)," ")))
 )
)</f>
        <v/>
      </c>
      <c r="BI61" s="85">
        <f t="array" ref="BI61">_xlfn.LET(
 _xlpm.topic,IFERROR(Resolutions[الموضوع],""),
 _xlpm.followup,TRIM(SUBSTITUTE(IFERROR(Resolutions[متطلبات المتابعة],""),CHAR(160)," ")),
 _xlpm.itemStatus,TRIM(SUBSTITUTE(IFERROR(Resolutions[مستوى الإنجاز],""),CHAR(160),"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--(_xlpm.itemStatus="منجز"),
  --(_xlpm.sector=TRIM(SUBSTITUTE($AU61,CHAR(160)," "))),
  --(_xlpm.dept=TRIM(SUBSTITUTE($AV61,CHAR(160)," ")))
 )
)</f>
        <v/>
      </c>
      <c r="BJ61" s="85">
        <f t="array" ref="BJ61">_xlfn.LET(
 _xlpm.topic,IFERROR(Resolutions[الموضوع],""),
 _xlpm.followup,TRIM(SUBSTITUTE(IFERROR(Resolutions[متطلبات المتابعة],""),CHAR(160)," ")),
 _xlpm.itemStatus,TRIM(SUBSTITUTE(IFERROR(Resolutions[مستوى الإنجاز],""),CHAR(160),"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--(_xlpm.itemStatus="متأخر"),
  --(_xlpm.sector=TRIM(SUBSTITUTE($AU61,CHAR(160)," "))),
  --(_xlpm.dept=TRIM(SUBSTITUTE($AV61,CHAR(160)," ")))
 )
)</f>
        <v/>
      </c>
      <c r="BK61" s="85">
        <f>COUNTIFS(Projects[اسم المشروع],"&lt;&gt;",Projects[القطاع],$AU61&amp;"",Projects[[الإدارة ]],$AV61&amp;"")</f>
        <v/>
      </c>
      <c r="BL61" s="85">
        <f>COUNTIFS(Projects[مستوى الإنجاز],"Completed",Projects[القطاع],$AU61&amp;"",Projects[[الإدارة ]],$AV61&amp;"")</f>
        <v/>
      </c>
      <c r="BM61" s="85">
        <f>COUNTIFS(Projects[Late KPI],"Late",Projects[القطاع],$AU61&amp;"",Projects[[الإدارة ]],$AV61&amp;"")</f>
        <v/>
      </c>
      <c r="BN61" s="85">
        <f>COUNTIFS(Legislations[[عنوان التشريع ]],"&lt;&gt;",Legislations[القطاع],$AU61&amp;"",Legislations[الإدارة],$AV61&amp;"")</f>
        <v/>
      </c>
      <c r="BO61" s="85">
        <f>COUNTIFS(Legislations[مؤشرات الأداء],"في الموعد",Legislations[تجاوز الموعد],"&lt;&gt;متأخر",Legislations[القطاع],$AU61&amp;"",Legislations[الإدارة],$AV61&amp;"")</f>
        <v/>
      </c>
      <c r="BP61" s="85">
        <f>COUNTIFS(Legislations[مؤشرات الأداء],"في الموعد",Legislations[تجاوز الموعد],"متأخر",Legislations[القطاع],$AU61&amp;"",Legislations[الإدارة],$AV61&amp;"")</f>
        <v/>
      </c>
      <c r="BQ61" s="85">
        <f>COUNTIFS(Legislations[Late KPI],"متأخر",Legislations[القطاع],$AU61&amp;"",Legislations[الإدارة],$AV61&amp;"")</f>
        <v/>
      </c>
      <c r="BR61" s="85">
        <f t="array" ref="BR61">SUMPRODUCT(IFERROR(--Projects[الموازنة المعتمدة الجديدة],0),--(Projects[القطاع]=$AU61),--(Projects[[الإدارة ]]=$AV61))</f>
        <v/>
      </c>
      <c r="BS61" s="85">
        <f t="array" ref="BS61">SUMPRODUCT(IFERROR(--Projects[المنفق الفعلي],0),--(Projects[القطاع]=$AU61),--(Projects[[الإدارة ]]=$AV61))</f>
        <v/>
      </c>
      <c r="BT61" s="85">
        <f t="array" ref="BT61">SUMPRODUCT(IFERROR(--Projects[المخصص],0),--(Projects[القطاع]=$AU61),--(Projects[[الإدارة ]]=$AV61))</f>
        <v/>
      </c>
      <c r="BU61" s="85">
        <f t="array" ref="BU61">SUMPRODUCT(IFERROR(--Projects[غير المخصص],0),--(Projects[القطاع]=$AU61),--(Projects[[الإدارة ]]=$AV61))</f>
        <v/>
      </c>
      <c r="BV61" s="88">
        <f>COUNTIFS(Special[اسم المشروع],"&lt;&gt;",Special[مشاريع سموه],"نعم",Special[القطاع],$AU61,Special[[الإدارة ]],$AV61&amp;"")</f>
        <v/>
      </c>
      <c r="BW61" s="89">
        <f>COUNTIFS(Special[اسم المشروع],"&lt;&gt;",Special[مشاريع سموه],"لا",Special[القطاع],$AU61,Special[[الإدارة ]],$AV61&amp;"")</f>
        <v/>
      </c>
      <c r="BX61" s="88">
        <f>BV61-BA61-BB61</f>
        <v/>
      </c>
      <c r="BY61" s="88">
        <f>BW61-BC61-BD61</f>
        <v/>
      </c>
      <c r="BZ61" s="88">
        <f>COUNTIFS(ECSAC[[الموضوع ]],"&lt;&gt;",ECSAC[تصنيف الموضوع],"الأجندة السنوية",ECSAC[القطاع],$AU61,ECSAC[الإدارة],$AV61&amp;"")</f>
        <v/>
      </c>
      <c r="CA61" s="88">
        <f>COUNTIFS(ECSAC[[الموضوع ]],"&lt;&gt;",ECSAC[تصنيف الموضوع],"مستجد",ECSAC[القطاع],$AU61,ECSAC[الإدارة],$AV61&amp;"")</f>
        <v/>
      </c>
      <c r="CB61" s="88">
        <f>COUNTIFS(ECSAC[مستوى الإنجاز],"قيد التطوير",ECSAC[القطاع],$AU61,ECSAC[الإدارة],$AV61&amp;"")+COUNTIFS(ECSAC[مستوى الإنجاز],"قيد المراجعة",ECSAC[القطاع],$AU61,ECSAC[الإدارة],$AV61&amp;"")</f>
        <v/>
      </c>
      <c r="CC61" s="88">
        <f>COUNTIFS(ECSAC[مستوى الإنجاز],"جاهز للعرض",ECSAC[القطاع],$AU61,ECSAC[الإدارة],$AV61&amp;"")</f>
        <v/>
      </c>
      <c r="CD61" s="88">
        <f t="array" ref="CD61">_xlfn.LET(
_xlpm.topic,IFERROR(Resolutions[الموضوع],""),
_xlpm.followup,TRIM(SUBSTITUTE(IFERROR(Resolutions[متطلبات المتابعة],""),CHAR(160)," ")),
_xlpm.itemStatus,TRIM(SUBSTITUTE(IFERROR(Resolutions[مستوى الإنجاز],""),CHAR(160)," ")),
_xlpm.sector,TRIM(SUBSTITUTE(IFERROR(Resolutions[القطاع],""),CHAR(160)," ")),
_xlpm.dept,TRIM(SUBSTITUTE(IFERROR(Resolutions[الإدارة],""),CHAR(160)," ")),
SUMPRODUCT(
--(_xlpm.topic&lt;&gt;""),
--(((_xlpm.followup="رسالة رسمية")+(_xlpm.followup="بريد من الوحدة التنظيمية"))&gt;0),
--(((_xlpm.itemStatus="قيد التطوير")+(_xlpm.itemStatus="قيد المراجعة"))&gt;0),
--(_xlpm.sector=TRIM(SUBSTITUTE($AU61,CHAR(160)," "))),
--(_xlpm.dept=TRIM(SUBSTITUTE($AV61,CHAR(160)," ")))
)
)</f>
        <v/>
      </c>
      <c r="CE61" s="88">
        <f>COUNTIFS(Projects[مستوى الإنجاز],"Active",Projects[القطاع],$AU61,Projects[[الإدارة ]],$AV61&amp;"")</f>
        <v/>
      </c>
      <c r="CF61" s="91">
        <f>COUNTIFS(Projects[مستوى الإنجاز],"Cancelled",Projects[القطاع],$AU61,Projects[[الإدارة ]],$AV61&amp;"")+COUNTIFS(Projects[مستوى الإنجاز],"Frozen",Projects[القطاع],$AU61,Projects[[الإدارة ]],$AV61&amp;"")</f>
        <v/>
      </c>
      <c r="CG61" s="88">
        <f>COUNTIFS(Projects[الربع],"Q1",Projects[القطاع],$AU61,Projects[[الإدارة ]],$AV61&amp;"")</f>
        <v/>
      </c>
      <c r="CH61" s="88">
        <f>COUNTIFS(Projects[الربع],"Q2",Projects[القطاع],$AU61,Projects[[الإدارة ]],$AV61&amp;"")</f>
        <v/>
      </c>
      <c r="CI61" s="88">
        <f>COUNTIFS(Projects[الربع],"Q3",Projects[القطاع],$AU61,Projects[[الإدارة ]],$AV61&amp;"")</f>
        <v/>
      </c>
      <c r="CJ61" s="88">
        <f>COUNTIFS(Projects[الربع],"Q4",Projects[القطاع],$AU61,Projects[[الإدارة ]],$AV61&amp;"")</f>
        <v/>
      </c>
    </row>
    <row r="62">
      <c r="AU62" s="85" t="inlineStr">
        <is>
          <t>الاتصال الحكومي وشؤون الأمانة العامة</t>
        </is>
      </c>
      <c r="AV62" s="85" t="inlineStr">
        <is>
          <t>المالية والحسابات</t>
        </is>
      </c>
      <c r="AW62" s="85" t="inlineStr">
        <is>
          <t>الشهر الحالي</t>
        </is>
      </c>
      <c r="AX62" s="85">
        <f t="array" ref="AX62">_xlfn.LET(
_xlpm.results,Strategy[[نتيجة العام ]],
SUMPRODUCT(
--(Strategy[المؤشر]&lt;&gt;"")*
--ISNUMBER(_xlpm.results)*
--(_xlpm.results&lt;&gt;0)*
--(Strategy[القطاع]=($AU62&amp;""))*
--(Strategy[الإدارة]=($AV62&amp;""))
)
)</f>
        <v/>
      </c>
      <c r="AY62" s="85">
        <f>IFERROR(
AVERAGEIFS(
Strategy[[نتيجة العام ]],
Strategy[المؤشر],"&lt;&gt;",
Strategy[[نتيجة العام ]],"&lt;&gt;0",
Strategy[القطاع],$AU62&amp;"",
Strategy[الإدارة],$AV62&amp;""
),
""
)</f>
        <v/>
      </c>
      <c r="AZ62" s="85">
        <f>COUNTIFS(Special[اسم المشروع],"&lt;&gt;",Special[القطاع],$AU62&amp;"",Special[[الإدارة ]],$AV62&amp;"")</f>
        <v/>
      </c>
      <c r="BA62" s="85">
        <f>COUNTIFS(Special[مستوى الإنجاز],"منجز",Special[مشاريع سموه],"نعم",Special[القطاع],$AU62&amp;"",Special[[الإدارة ]],$AV62&amp;"")</f>
        <v/>
      </c>
      <c r="BB62" s="85">
        <f>COUNTIFS(Special[مستوى الإنجاز],"متأخر",Special[مشاريع سموه],"نعم",Special[القطاع],$AU62&amp;"",Special[[الإدارة ]],$AV62&amp;"")</f>
        <v/>
      </c>
      <c r="BC62" s="85">
        <f>COUNTIFS(Special[مستوى الإنجاز],"منجز",Special[مشاريع سموه],"لا",Special[القطاع],$AU62&amp;"",Special[[الإدارة ]],$AV62&amp;"")</f>
        <v/>
      </c>
      <c r="BD62" s="85">
        <f>COUNTIFS(Special[مستوى الإنجاز],"متأخر",Special[مشاريع سموه],"لا",Special[القطاع],$AU62&amp;"",Special[[الإدارة ]],$AV62&amp;"")</f>
        <v/>
      </c>
      <c r="BE62" s="85">
        <f>COUNTIFS(ECSAC[[الموضوع ]],"&lt;&gt;",ECSAC[القطاع],$AU62&amp;"",ECSAC[الإدارة],$AV62&amp;"")</f>
        <v/>
      </c>
      <c r="BF62" s="85">
        <f>COUNTIFS(ECSAC[مستوى الإنجاز],"منجز",ECSAC[القطاع],$AU62&amp;"",ECSAC[الإدارة],$AV62&amp;"")</f>
        <v/>
      </c>
      <c r="BG62" s="85">
        <f>COUNTIFS(ECSAC[مستوى الإنجاز],"متأخر",ECSAC[القطاع],$AU62&amp;"",ECSAC[الإدارة],$AV62&amp;"")</f>
        <v/>
      </c>
      <c r="BH62" s="85">
        <f t="array" ref="BH62">_xlfn.LET(
 _xlpm.topic,IFERROR(Resolutions[الموضوع],""),
 _xlpm.followup,TRIM(SUBSTITUTE(IFERROR(Resolutions[متطلبات المتابعة],""),CHAR(160),"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--(_xlpm.sector=TRIM(SUBSTITUTE($AU62,CHAR(160)," "))),
  --(_xlpm.dept=TRIM(SUBSTITUTE($AV62,CHAR(160)," ")))
 )
)</f>
        <v/>
      </c>
      <c r="BI62" s="85">
        <f t="array" ref="BI62">_xlfn.LET(
 _xlpm.topic,IFERROR(Resolutions[الموضوع],""),
 _xlpm.followup,TRIM(SUBSTITUTE(IFERROR(Resolutions[متطلبات المتابعة],""),CHAR(160)," ")),
 _xlpm.itemStatus,TRIM(SUBSTITUTE(IFERROR(Resolutions[مستوى الإنجاز],""),CHAR(160),"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--(_xlpm.itemStatus="منجز"),
  --(_xlpm.sector=TRIM(SUBSTITUTE($AU62,CHAR(160)," "))),
  --(_xlpm.dept=TRIM(SUBSTITUTE($AV62,CHAR(160)," ")))
 )
)</f>
        <v/>
      </c>
      <c r="BJ62" s="85">
        <f t="array" ref="BJ62">_xlfn.LET(
 _xlpm.topic,IFERROR(Resolutions[الموضوع],""),
 _xlpm.followup,TRIM(SUBSTITUTE(IFERROR(Resolutions[متطلبات المتابعة],""),CHAR(160)," ")),
 _xlpm.itemStatus,TRIM(SUBSTITUTE(IFERROR(Resolutions[مستوى الإنجاز],""),CHAR(160),"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--(_xlpm.itemStatus="متأخر"),
  --(_xlpm.sector=TRIM(SUBSTITUTE($AU62,CHAR(160)," "))),
  --(_xlpm.dept=TRIM(SUBSTITUTE($AV62,CHAR(160)," ")))
 )
)</f>
        <v/>
      </c>
      <c r="BK62" s="85">
        <f>COUNTIFS(Projects[اسم المشروع],"&lt;&gt;",Projects[القطاع],$AU62&amp;"",Projects[[الإدارة ]],$AV62&amp;"")</f>
        <v/>
      </c>
      <c r="BL62" s="85">
        <f>COUNTIFS(Projects[مستوى الإنجاز],"Completed",Projects[القطاع],$AU62&amp;"",Projects[[الإدارة ]],$AV62&amp;"")</f>
        <v/>
      </c>
      <c r="BM62" s="85">
        <f>COUNTIFS(Projects[Late KPI],"Late",Projects[القطاع],$AU62&amp;"",Projects[[الإدارة ]],$AV62&amp;"")</f>
        <v/>
      </c>
      <c r="BN62" s="85">
        <f>COUNTIFS(Legislations[[عنوان التشريع ]],"&lt;&gt;",Legislations[القطاع],$AU62&amp;"",Legislations[الإدارة],$AV62&amp;"")</f>
        <v/>
      </c>
      <c r="BO62" s="85">
        <f>COUNTIFS(Legislations[مؤشرات الأداء],"في الموعد",Legislations[تجاوز الموعد],"&lt;&gt;متأخر",Legislations[القطاع],$AU62&amp;"",Legislations[الإدارة],$AV62&amp;"")</f>
        <v/>
      </c>
      <c r="BP62" s="85">
        <f>COUNTIFS(Legislations[مؤشرات الأداء],"في الموعد",Legislations[تجاوز الموعد],"متأخر",Legislations[القطاع],$AU62&amp;"",Legislations[الإدارة],$AV62&amp;"")</f>
        <v/>
      </c>
      <c r="BQ62" s="85">
        <f>COUNTIFS(Legislations[Late KPI],"متأخر",Legislations[القطاع],$AU62&amp;"",Legislations[الإدارة],$AV62&amp;"")</f>
        <v/>
      </c>
      <c r="BR62" s="85">
        <f t="array" ref="BR62">SUMPRODUCT(IFERROR(--Projects[الموازنة المعتمدة الجديدة],0),--(Projects[القطاع]=$AU62),--(Projects[[الإدارة ]]=$AV62))</f>
        <v/>
      </c>
      <c r="BS62" s="85">
        <f t="array" ref="BS62">SUMPRODUCT(IFERROR(--Projects[المنفق الفعلي],0),--(Projects[القطاع]=$AU62),--(Projects[[الإدارة ]]=$AV62))</f>
        <v/>
      </c>
      <c r="BT62" s="85">
        <f t="array" ref="BT62">SUMPRODUCT(IFERROR(--Projects[المخصص],0),--(Projects[القطاع]=$AU62),--(Projects[[الإدارة ]]=$AV62))</f>
        <v/>
      </c>
      <c r="BU62" s="85">
        <f t="array" ref="BU62">SUMPRODUCT(IFERROR(--Projects[غير المخصص],0),--(Projects[القطاع]=$AU62),--(Projects[[الإدارة ]]=$AV62))</f>
        <v/>
      </c>
      <c r="BV62" s="88">
        <f>COUNTIFS(Special[اسم المشروع],"&lt;&gt;",Special[مشاريع سموه],"نعم",Special[القطاع],$AU62,Special[[الإدارة ]],$AV62&amp;"")</f>
        <v/>
      </c>
      <c r="BW62" s="89">
        <f>COUNTIFS(Special[اسم المشروع],"&lt;&gt;",Special[مشاريع سموه],"لا",Special[القطاع],$AU62,Special[[الإدارة ]],$AV62&amp;"")</f>
        <v/>
      </c>
      <c r="BX62" s="88">
        <f>BV62-BA62-BB62</f>
        <v/>
      </c>
      <c r="BY62" s="88">
        <f>BW62-BC62-BD62</f>
        <v/>
      </c>
      <c r="BZ62" s="88">
        <f>COUNTIFS(ECSAC[[الموضوع ]],"&lt;&gt;",ECSAC[تصنيف الموضوع],"الأجندة السنوية",ECSAC[القطاع],$AU62,ECSAC[الإدارة],$AV62&amp;"")</f>
        <v/>
      </c>
      <c r="CA62" s="88">
        <f>COUNTIFS(ECSAC[[الموضوع ]],"&lt;&gt;",ECSAC[تصنيف الموضوع],"مستجد",ECSAC[القطاع],$AU62,ECSAC[الإدارة],$AV62&amp;"")</f>
        <v/>
      </c>
      <c r="CB62" s="88">
        <f>COUNTIFS(ECSAC[مستوى الإنجاز],"قيد التطوير",ECSAC[القطاع],$AU62,ECSAC[الإدارة],$AV62&amp;"")+COUNTIFS(ECSAC[مستوى الإنجاز],"قيد المراجعة",ECSAC[القطاع],$AU62,ECSAC[الإدارة],$AV62&amp;"")</f>
        <v/>
      </c>
      <c r="CC62" s="88">
        <f>COUNTIFS(ECSAC[مستوى الإنجاز],"جاهز للعرض",ECSAC[القطاع],$AU62,ECSAC[الإدارة],$AV62&amp;"")</f>
        <v/>
      </c>
      <c r="CD62" s="88">
        <f t="array" ref="CD62">_xlfn.LET(
_xlpm.topic,IFERROR(Resolutions[الموضوع],""),
_xlpm.followup,TRIM(SUBSTITUTE(IFERROR(Resolutions[متطلبات المتابعة],""),CHAR(160)," ")),
_xlpm.itemStatus,TRIM(SUBSTITUTE(IFERROR(Resolutions[مستوى الإنجاز],""),CHAR(160)," ")),
_xlpm.sector,TRIM(SUBSTITUTE(IFERROR(Resolutions[القطاع],""),CHAR(160)," ")),
_xlpm.dept,TRIM(SUBSTITUTE(IFERROR(Resolutions[الإدارة],""),CHAR(160)," ")),
SUMPRODUCT(
--(_xlpm.topic&lt;&gt;""),
--(((_xlpm.followup="رسالة رسمية")+(_xlpm.followup="بريد من الوحدة التنظيمية"))&gt;0),
--(((_xlpm.itemStatus="قيد التطوير")+(_xlpm.itemStatus="قيد المراجعة"))&gt;0),
--(_xlpm.sector=TRIM(SUBSTITUTE($AU62,CHAR(160)," "))),
--(_xlpm.dept=TRIM(SUBSTITUTE($AV62,CHAR(160)," ")))
)
)</f>
        <v/>
      </c>
      <c r="CE62" s="88">
        <f>COUNTIFS(Projects[مستوى الإنجاز],"Active",Projects[القطاع],$AU62,Projects[[الإدارة ]],$AV62&amp;"")</f>
        <v/>
      </c>
      <c r="CF62" s="91">
        <f>COUNTIFS(Projects[مستوى الإنجاز],"Cancelled",Projects[القطاع],$AU62,Projects[[الإدارة ]],$AV62&amp;"")+COUNTIFS(Projects[مستوى الإنجاز],"Frozen",Projects[القطاع],$AU62,Projects[[الإدارة ]],$AV62&amp;"")</f>
        <v/>
      </c>
      <c r="CG62" s="88">
        <f>COUNTIFS(Projects[الربع],"Q1",Projects[القطاع],$AU62,Projects[[الإدارة ]],$AV62&amp;"")</f>
        <v/>
      </c>
      <c r="CH62" s="88">
        <f>COUNTIFS(Projects[الربع],"Q2",Projects[القطاع],$AU62,Projects[[الإدارة ]],$AV62&amp;"")</f>
        <v/>
      </c>
      <c r="CI62" s="88">
        <f>COUNTIFS(Projects[الربع],"Q3",Projects[القطاع],$AU62,Projects[[الإدارة ]],$AV62&amp;"")</f>
        <v/>
      </c>
      <c r="CJ62" s="88">
        <f>COUNTIFS(Projects[الربع],"Q4",Projects[القطاع],$AU62,Projects[[الإدارة ]],$AV62&amp;"")</f>
        <v/>
      </c>
    </row>
    <row r="63">
      <c r="AU63" s="85" t="inlineStr">
        <is>
          <t>الاتصال الحكومي وشؤون الأمانة العامة</t>
        </is>
      </c>
      <c r="AV63" s="85" t="inlineStr">
        <is>
          <t>المشتريات والشؤون الإدارية</t>
        </is>
      </c>
      <c r="AW63" s="85" t="inlineStr">
        <is>
          <t>الشهر الحالي</t>
        </is>
      </c>
      <c r="AX63" s="85">
        <f t="array" ref="AX63">_xlfn.LET(
_xlpm.results,Strategy[[نتيجة العام ]],
SUMPRODUCT(
--(Strategy[المؤشر]&lt;&gt;"")*
--ISNUMBER(_xlpm.results)*
--(_xlpm.results&lt;&gt;0)*
--(Strategy[القطاع]=($AU63&amp;""))*
--(Strategy[الإدارة]=($AV63&amp;""))
)
)</f>
        <v/>
      </c>
      <c r="AY63" s="85">
        <f>IFERROR(
AVERAGEIFS(
Strategy[[نتيجة العام ]],
Strategy[المؤشر],"&lt;&gt;",
Strategy[[نتيجة العام ]],"&lt;&gt;0",
Strategy[القطاع],$AU63&amp;"",
Strategy[الإدارة],$AV63&amp;""
),
""
)</f>
        <v/>
      </c>
      <c r="AZ63" s="85">
        <f>COUNTIFS(Special[اسم المشروع],"&lt;&gt;",Special[القطاع],$AU63&amp;"",Special[[الإدارة ]],$AV63&amp;"")</f>
        <v/>
      </c>
      <c r="BA63" s="85">
        <f>COUNTIFS(Special[مستوى الإنجاز],"منجز",Special[مشاريع سموه],"نعم",Special[القطاع],$AU63&amp;"",Special[[الإدارة ]],$AV63&amp;"")</f>
        <v/>
      </c>
      <c r="BB63" s="85">
        <f>COUNTIFS(Special[مستوى الإنجاز],"متأخر",Special[مشاريع سموه],"نعم",Special[القطاع],$AU63&amp;"",Special[[الإدارة ]],$AV63&amp;"")</f>
        <v/>
      </c>
      <c r="BC63" s="85">
        <f>COUNTIFS(Special[مستوى الإنجاز],"منجز",Special[مشاريع سموه],"لا",Special[القطاع],$AU63&amp;"",Special[[الإدارة ]],$AV63&amp;"")</f>
        <v/>
      </c>
      <c r="BD63" s="85">
        <f>COUNTIFS(Special[مستوى الإنجاز],"متأخر",Special[مشاريع سموه],"لا",Special[القطاع],$AU63&amp;"",Special[[الإدارة ]],$AV63&amp;"")</f>
        <v/>
      </c>
      <c r="BE63" s="85">
        <f>COUNTIFS(ECSAC[[الموضوع ]],"&lt;&gt;",ECSAC[القطاع],$AU63&amp;"",ECSAC[الإدارة],$AV63&amp;"")</f>
        <v/>
      </c>
      <c r="BF63" s="85">
        <f>COUNTIFS(ECSAC[مستوى الإنجاز],"منجز",ECSAC[القطاع],$AU63&amp;"",ECSAC[الإدارة],$AV63&amp;"")</f>
        <v/>
      </c>
      <c r="BG63" s="85">
        <f>COUNTIFS(ECSAC[مستوى الإنجاز],"متأخر",ECSAC[القطاع],$AU63&amp;"",ECSAC[الإدارة],$AV63&amp;"")</f>
        <v/>
      </c>
      <c r="BH63" s="85">
        <f t="array" ref="BH63">_xlfn.LET(
 _xlpm.topic,IFERROR(Resolutions[الموضوع],""),
 _xlpm.followup,TRIM(SUBSTITUTE(IFERROR(Resolutions[متطلبات المتابعة],""),CHAR(160),"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--(_xlpm.sector=TRIM(SUBSTITUTE($AU63,CHAR(160)," "))),
  --(_xlpm.dept=TRIM(SUBSTITUTE($AV63,CHAR(160)," ")))
 )
)</f>
        <v/>
      </c>
      <c r="BI63" s="85">
        <f t="array" ref="BI63">_xlfn.LET(
 _xlpm.topic,IFERROR(Resolutions[الموضوع],""),
 _xlpm.followup,TRIM(SUBSTITUTE(IFERROR(Resolutions[متطلبات المتابعة],""),CHAR(160)," ")),
 _xlpm.itemStatus,TRIM(SUBSTITUTE(IFERROR(Resolutions[مستوى الإنجاز],""),CHAR(160),"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--(_xlpm.itemStatus="منجز"),
  --(_xlpm.sector=TRIM(SUBSTITUTE($AU63,CHAR(160)," "))),
  --(_xlpm.dept=TRIM(SUBSTITUTE($AV63,CHAR(160)," ")))
 )
)</f>
        <v/>
      </c>
      <c r="BJ63" s="85">
        <f t="array" ref="BJ63">_xlfn.LET(
 _xlpm.topic,IFERROR(Resolutions[الموضوع],""),
 _xlpm.followup,TRIM(SUBSTITUTE(IFERROR(Resolutions[متطلبات المتابعة],""),CHAR(160)," ")),
 _xlpm.itemStatus,TRIM(SUBSTITUTE(IFERROR(Resolutions[مستوى الإنجاز],""),CHAR(160),"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--(_xlpm.itemStatus="متأخر"),
  --(_xlpm.sector=TRIM(SUBSTITUTE($AU63,CHAR(160)," "))),
  --(_xlpm.dept=TRIM(SUBSTITUTE($AV63,CHAR(160)," ")))
 )
)</f>
        <v/>
      </c>
      <c r="BK63" s="85">
        <f>COUNTIFS(Projects[اسم المشروع],"&lt;&gt;",Projects[القطاع],$AU63&amp;"",Projects[[الإدارة ]],$AV63&amp;"")</f>
        <v/>
      </c>
      <c r="BL63" s="85">
        <f>COUNTIFS(Projects[مستوى الإنجاز],"Completed",Projects[القطاع],$AU63&amp;"",Projects[[الإدارة ]],$AV63&amp;"")</f>
        <v/>
      </c>
      <c r="BM63" s="85">
        <f>COUNTIFS(Projects[Late KPI],"Late",Projects[القطاع],$AU63&amp;"",Projects[[الإدارة ]],$AV63&amp;"")</f>
        <v/>
      </c>
      <c r="BN63" s="85">
        <f>COUNTIFS(Legislations[[عنوان التشريع ]],"&lt;&gt;",Legislations[القطاع],$AU63&amp;"",Legislations[الإدارة],$AV63&amp;"")</f>
        <v/>
      </c>
      <c r="BO63" s="85">
        <f>COUNTIFS(Legislations[مؤشرات الأداء],"في الموعد",Legislations[تجاوز الموعد],"&lt;&gt;متأخر",Legislations[القطاع],$AU63&amp;"",Legislations[الإدارة],$AV63&amp;"")</f>
        <v/>
      </c>
      <c r="BP63" s="85">
        <f>COUNTIFS(Legislations[مؤشرات الأداء],"في الموعد",Legislations[تجاوز الموعد],"متأخر",Legislations[القطاع],$AU63&amp;"",Legislations[الإدارة],$AV63&amp;"")</f>
        <v/>
      </c>
      <c r="BQ63" s="85">
        <f>COUNTIFS(Legislations[Late KPI],"متأخر",Legislations[القطاع],$AU63&amp;"",Legislations[الإدارة],$AV63&amp;"")</f>
        <v/>
      </c>
      <c r="BR63" s="85">
        <f t="array" ref="BR63">SUMPRODUCT(IFERROR(--Projects[الموازنة المعتمدة الجديدة],0),--(Projects[القطاع]=$AU63),--(Projects[[الإدارة ]]=$AV63))</f>
        <v/>
      </c>
      <c r="BS63" s="85">
        <f t="array" ref="BS63">SUMPRODUCT(IFERROR(--Projects[المنفق الفعلي],0),--(Projects[القطاع]=$AU63),--(Projects[[الإدارة ]]=$AV63))</f>
        <v/>
      </c>
      <c r="BT63" s="85">
        <f t="array" ref="BT63">SUMPRODUCT(IFERROR(--Projects[المخصص],0),--(Projects[القطاع]=$AU63),--(Projects[[الإدارة ]]=$AV63))</f>
        <v/>
      </c>
      <c r="BU63" s="85">
        <f t="array" ref="BU63">SUMPRODUCT(IFERROR(--Projects[غير المخصص],0),--(Projects[القطاع]=$AU63),--(Projects[[الإدارة ]]=$AV63))</f>
        <v/>
      </c>
      <c r="BV63" s="88">
        <f>COUNTIFS(Special[اسم المشروع],"&lt;&gt;",Special[مشاريع سموه],"نعم",Special[القطاع],$AU63,Special[[الإدارة ]],$AV63&amp;"")</f>
        <v/>
      </c>
      <c r="BW63" s="89">
        <f>COUNTIFS(Special[اسم المشروع],"&lt;&gt;",Special[مشاريع سموه],"لا",Special[القطاع],$AU63,Special[[الإدارة ]],$AV63&amp;"")</f>
        <v/>
      </c>
      <c r="BX63" s="88">
        <f>BV63-BA63-BB63</f>
        <v/>
      </c>
      <c r="BY63" s="88">
        <f>BW63-BC63-BD63</f>
        <v/>
      </c>
      <c r="BZ63" s="88">
        <f>COUNTIFS(ECSAC[[الموضوع ]],"&lt;&gt;",ECSAC[تصنيف الموضوع],"الأجندة السنوية",ECSAC[القطاع],$AU63,ECSAC[الإدارة],$AV63&amp;"")</f>
        <v/>
      </c>
      <c r="CA63" s="88">
        <f>COUNTIFS(ECSAC[[الموضوع ]],"&lt;&gt;",ECSAC[تصنيف الموضوع],"مستجد",ECSAC[القطاع],$AU63,ECSAC[الإدارة],$AV63&amp;"")</f>
        <v/>
      </c>
      <c r="CB63" s="88">
        <f>COUNTIFS(ECSAC[مستوى الإنجاز],"قيد التطوير",ECSAC[القطاع],$AU63,ECSAC[الإدارة],$AV63&amp;"")+COUNTIFS(ECSAC[مستوى الإنجاز],"قيد المراجعة",ECSAC[القطاع],$AU63,ECSAC[الإدارة],$AV63&amp;"")</f>
        <v/>
      </c>
      <c r="CC63" s="88">
        <f>COUNTIFS(ECSAC[مستوى الإنجاز],"جاهز للعرض",ECSAC[القطاع],$AU63,ECSAC[الإدارة],$AV63&amp;"")</f>
        <v/>
      </c>
      <c r="CD63" s="88">
        <f t="array" ref="CD63">_xlfn.LET(
_xlpm.topic,IFERROR(Resolutions[الموضوع],""),
_xlpm.followup,TRIM(SUBSTITUTE(IFERROR(Resolutions[متطلبات المتابعة],""),CHAR(160)," ")),
_xlpm.itemStatus,TRIM(SUBSTITUTE(IFERROR(Resolutions[مستوى الإنجاز],""),CHAR(160)," ")),
_xlpm.sector,TRIM(SUBSTITUTE(IFERROR(Resolutions[القطاع],""),CHAR(160)," ")),
_xlpm.dept,TRIM(SUBSTITUTE(IFERROR(Resolutions[الإدارة],""),CHAR(160)," ")),
SUMPRODUCT(
--(_xlpm.topic&lt;&gt;""),
--(((_xlpm.followup="رسالة رسمية")+(_xlpm.followup="بريد من الوحدة التنظيمية"))&gt;0),
--(((_xlpm.itemStatus="قيد التطوير")+(_xlpm.itemStatus="قيد المراجعة"))&gt;0),
--(_xlpm.sector=TRIM(SUBSTITUTE($AU63,CHAR(160)," "))),
--(_xlpm.dept=TRIM(SUBSTITUTE($AV63,CHAR(160)," ")))
)
)</f>
        <v/>
      </c>
      <c r="CE63" s="88">
        <f>COUNTIFS(Projects[مستوى الإنجاز],"Active",Projects[القطاع],$AU63,Projects[[الإدارة ]],$AV63&amp;"")</f>
        <v/>
      </c>
      <c r="CF63" s="91">
        <f>COUNTIFS(Projects[مستوى الإنجاز],"Cancelled",Projects[القطاع],$AU63,Projects[[الإدارة ]],$AV63&amp;"")+COUNTIFS(Projects[مستوى الإنجاز],"Frozen",Projects[القطاع],$AU63,Projects[[الإدارة ]],$AV63&amp;"")</f>
        <v/>
      </c>
      <c r="CG63" s="88">
        <f>COUNTIFS(Projects[الربع],"Q1",Projects[القطاع],$AU63,Projects[[الإدارة ]],$AV63&amp;"")</f>
        <v/>
      </c>
      <c r="CH63" s="88">
        <f>COUNTIFS(Projects[الربع],"Q2",Projects[القطاع],$AU63,Projects[[الإدارة ]],$AV63&amp;"")</f>
        <v/>
      </c>
      <c r="CI63" s="88">
        <f>COUNTIFS(Projects[الربع],"Q3",Projects[القطاع],$AU63,Projects[[الإدارة ]],$AV63&amp;"")</f>
        <v/>
      </c>
      <c r="CJ63" s="88">
        <f>COUNTIFS(Projects[الربع],"Q4",Projects[القطاع],$AU63,Projects[[الإدارة ]],$AV63&amp;"")</f>
        <v/>
      </c>
    </row>
    <row r="64">
      <c r="AU64" s="85" t="inlineStr">
        <is>
          <t>الاتصال الحكومي وشؤون الأمانة العامة</t>
        </is>
      </c>
      <c r="AV64" s="85" t="inlineStr">
        <is>
          <t>تقنية المعلومات</t>
        </is>
      </c>
      <c r="AW64" s="85" t="inlineStr">
        <is>
          <t>الشهر الحالي</t>
        </is>
      </c>
      <c r="AX64" s="85">
        <f t="array" ref="AX64">_xlfn.LET(
_xlpm.results,Strategy[[نتيجة العام ]],
SUMPRODUCT(
--(Strategy[المؤشر]&lt;&gt;"")*
--ISNUMBER(_xlpm.results)*
--(_xlpm.results&lt;&gt;0)*
--(Strategy[القطاع]=($AU64&amp;""))*
--(Strategy[الإدارة]=($AV64&amp;""))
)
)</f>
        <v/>
      </c>
      <c r="AY64" s="85">
        <f>IFERROR(
AVERAGEIFS(
Strategy[[نتيجة العام ]],
Strategy[المؤشر],"&lt;&gt;",
Strategy[[نتيجة العام ]],"&lt;&gt;0",
Strategy[القطاع],$AU64&amp;"",
Strategy[الإدارة],$AV64&amp;""
),
""
)</f>
        <v/>
      </c>
      <c r="AZ64" s="85">
        <f>COUNTIFS(Special[اسم المشروع],"&lt;&gt;",Special[القطاع],$AU64&amp;"",Special[[الإدارة ]],$AV64&amp;"")</f>
        <v/>
      </c>
      <c r="BA64" s="85">
        <f>COUNTIFS(Special[مستوى الإنجاز],"منجز",Special[مشاريع سموه],"نعم",Special[القطاع],$AU64&amp;"",Special[[الإدارة ]],$AV64&amp;"")</f>
        <v/>
      </c>
      <c r="BB64" s="85">
        <f>COUNTIFS(Special[مستوى الإنجاز],"متأخر",Special[مشاريع سموه],"نعم",Special[القطاع],$AU64&amp;"",Special[[الإدارة ]],$AV64&amp;"")</f>
        <v/>
      </c>
      <c r="BC64" s="85">
        <f>COUNTIFS(Special[مستوى الإنجاز],"منجز",Special[مشاريع سموه],"لا",Special[القطاع],$AU64&amp;"",Special[[الإدارة ]],$AV64&amp;"")</f>
        <v/>
      </c>
      <c r="BD64" s="85">
        <f>COUNTIFS(Special[مستوى الإنجاز],"متأخر",Special[مشاريع سموه],"لا",Special[القطاع],$AU64&amp;"",Special[[الإدارة ]],$AV64&amp;"")</f>
        <v/>
      </c>
      <c r="BE64" s="85">
        <f>COUNTIFS(ECSAC[[الموضوع ]],"&lt;&gt;",ECSAC[القطاع],$AU64&amp;"",ECSAC[الإدارة],$AV64&amp;"")</f>
        <v/>
      </c>
      <c r="BF64" s="85">
        <f>COUNTIFS(ECSAC[مستوى الإنجاز],"منجز",ECSAC[القطاع],$AU64&amp;"",ECSAC[الإدارة],$AV64&amp;"")</f>
        <v/>
      </c>
      <c r="BG64" s="85">
        <f>COUNTIFS(ECSAC[مستوى الإنجاز],"متأخر",ECSAC[القطاع],$AU64&amp;"",ECSAC[الإدارة],$AV64&amp;"")</f>
        <v/>
      </c>
      <c r="BH64" s="85">
        <f t="array" ref="BH64">_xlfn.LET(
 _xlpm.topic,IFERROR(Resolutions[الموضوع],""),
 _xlpm.followup,TRIM(SUBSTITUTE(IFERROR(Resolutions[متطلبات المتابعة],""),CHAR(160),"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--(_xlpm.sector=TRIM(SUBSTITUTE($AU64,CHAR(160)," "))),
  --(_xlpm.dept=TRIM(SUBSTITUTE($AV64,CHAR(160)," ")))
 )
)</f>
        <v/>
      </c>
      <c r="BI64" s="85">
        <f t="array" ref="BI64">_xlfn.LET(
 _xlpm.topic,IFERROR(Resolutions[الموضوع],""),
 _xlpm.followup,TRIM(SUBSTITUTE(IFERROR(Resolutions[متطلبات المتابعة],""),CHAR(160)," ")),
 _xlpm.itemStatus,TRIM(SUBSTITUTE(IFERROR(Resolutions[مستوى الإنجاز],""),CHAR(160),"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--(_xlpm.itemStatus="منجز"),
  --(_xlpm.sector=TRIM(SUBSTITUTE($AU64,CHAR(160)," "))),
  --(_xlpm.dept=TRIM(SUBSTITUTE($AV64,CHAR(160)," ")))
 )
)</f>
        <v/>
      </c>
      <c r="BJ64" s="85">
        <f t="array" ref="BJ64">_xlfn.LET(
 _xlpm.topic,IFERROR(Resolutions[الموضوع],""),
 _xlpm.followup,TRIM(SUBSTITUTE(IFERROR(Resolutions[متطلبات المتابعة],""),CHAR(160)," ")),
 _xlpm.itemStatus,TRIM(SUBSTITUTE(IFERROR(Resolutions[مستوى الإنجاز],""),CHAR(160),"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--(_xlpm.itemStatus="متأخر"),
  --(_xlpm.sector=TRIM(SUBSTITUTE($AU64,CHAR(160)," "))),
  --(_xlpm.dept=TRIM(SUBSTITUTE($AV64,CHAR(160)," ")))
 )
)</f>
        <v/>
      </c>
      <c r="BK64" s="85">
        <f>COUNTIFS(Projects[اسم المشروع],"&lt;&gt;",Projects[القطاع],$AU64&amp;"",Projects[[الإدارة ]],$AV64&amp;"")</f>
        <v/>
      </c>
      <c r="BL64" s="85">
        <f>COUNTIFS(Projects[مستوى الإنجاز],"Completed",Projects[القطاع],$AU64&amp;"",Projects[[الإدارة ]],$AV64&amp;"")</f>
        <v/>
      </c>
      <c r="BM64" s="85">
        <f>COUNTIFS(Projects[Late KPI],"Late",Projects[القطاع],$AU64&amp;"",Projects[[الإدارة ]],$AV64&amp;"")</f>
        <v/>
      </c>
      <c r="BN64" s="85">
        <f>COUNTIFS(Legislations[[عنوان التشريع ]],"&lt;&gt;",Legislations[القطاع],$AU64&amp;"",Legislations[الإدارة],$AV64&amp;"")</f>
        <v/>
      </c>
      <c r="BO64" s="85">
        <f>COUNTIFS(Legislations[مؤشرات الأداء],"في الموعد",Legislations[تجاوز الموعد],"&lt;&gt;متأخر",Legislations[القطاع],$AU64&amp;"",Legislations[الإدارة],$AV64&amp;"")</f>
        <v/>
      </c>
      <c r="BP64" s="85">
        <f>COUNTIFS(Legislations[مؤشرات الأداء],"في الموعد",Legislations[تجاوز الموعد],"متأخر",Legislations[القطاع],$AU64&amp;"",Legislations[الإدارة],$AV64&amp;"")</f>
        <v/>
      </c>
      <c r="BQ64" s="85">
        <f>COUNTIFS(Legislations[Late KPI],"متأخر",Legislations[القطاع],$AU64&amp;"",Legislations[الإدارة],$AV64&amp;"")</f>
        <v/>
      </c>
      <c r="BR64" s="85">
        <f t="array" ref="BR64">SUMPRODUCT(IFERROR(--Projects[الموازنة المعتمدة الجديدة],0),--(Projects[القطاع]=$AU64),--(Projects[[الإدارة ]]=$AV64))</f>
        <v/>
      </c>
      <c r="BS64" s="85">
        <f t="array" ref="BS64">SUMPRODUCT(IFERROR(--Projects[المنفق الفعلي],0),--(Projects[القطاع]=$AU64),--(Projects[[الإدارة ]]=$AV64))</f>
        <v/>
      </c>
      <c r="BT64" s="85">
        <f t="array" ref="BT64">SUMPRODUCT(IFERROR(--Projects[المخصص],0),--(Projects[القطاع]=$AU64),--(Projects[[الإدارة ]]=$AV64))</f>
        <v/>
      </c>
      <c r="BU64" s="85">
        <f t="array" ref="BU64">SUMPRODUCT(IFERROR(--Projects[غير المخصص],0),--(Projects[القطاع]=$AU64),--(Projects[[الإدارة ]]=$AV64))</f>
        <v/>
      </c>
      <c r="BV64" s="88">
        <f>COUNTIFS(Special[اسم المشروع],"&lt;&gt;",Special[مشاريع سموه],"نعم",Special[القطاع],$AU64,Special[[الإدارة ]],$AV64&amp;"")</f>
        <v/>
      </c>
      <c r="BW64" s="89">
        <f>COUNTIFS(Special[اسم المشروع],"&lt;&gt;",Special[مشاريع سموه],"لا",Special[القطاع],$AU64,Special[[الإدارة ]],$AV64&amp;"")</f>
        <v/>
      </c>
      <c r="BX64" s="88">
        <f>BV64-BA64-BB64</f>
        <v/>
      </c>
      <c r="BY64" s="88">
        <f>BW64-BC64-BD64</f>
        <v/>
      </c>
      <c r="BZ64" s="88">
        <f>COUNTIFS(ECSAC[[الموضوع ]],"&lt;&gt;",ECSAC[تصنيف الموضوع],"الأجندة السنوية",ECSAC[القطاع],$AU64,ECSAC[الإدارة],$AV64&amp;"")</f>
        <v/>
      </c>
      <c r="CA64" s="88">
        <f>COUNTIFS(ECSAC[[الموضوع ]],"&lt;&gt;",ECSAC[تصنيف الموضوع],"مستجد",ECSAC[القطاع],$AU64,ECSAC[الإدارة],$AV64&amp;"")</f>
        <v/>
      </c>
      <c r="CB64" s="88">
        <f>COUNTIFS(ECSAC[مستوى الإنجاز],"قيد التطوير",ECSAC[القطاع],$AU64,ECSAC[الإدارة],$AV64&amp;"")+COUNTIFS(ECSAC[مستوى الإنجاز],"قيد المراجعة",ECSAC[القطاع],$AU64,ECSAC[الإدارة],$AV64&amp;"")</f>
        <v/>
      </c>
      <c r="CC64" s="88">
        <f>COUNTIFS(ECSAC[مستوى الإنجاز],"جاهز للعرض",ECSAC[القطاع],$AU64,ECSAC[الإدارة],$AV64&amp;"")</f>
        <v/>
      </c>
      <c r="CD64" s="88">
        <f t="array" ref="CD64">_xlfn.LET(
_xlpm.topic,IFERROR(Resolutions[الموضوع],""),
_xlpm.followup,TRIM(SUBSTITUTE(IFERROR(Resolutions[متطلبات المتابعة],""),CHAR(160)," ")),
_xlpm.itemStatus,TRIM(SUBSTITUTE(IFERROR(Resolutions[مستوى الإنجاز],""),CHAR(160)," ")),
_xlpm.sector,TRIM(SUBSTITUTE(IFERROR(Resolutions[القطاع],""),CHAR(160)," ")),
_xlpm.dept,TRIM(SUBSTITUTE(IFERROR(Resolutions[الإدارة],""),CHAR(160)," ")),
SUMPRODUCT(
--(_xlpm.topic&lt;&gt;""),
--(((_xlpm.followup="رسالة رسمية")+(_xlpm.followup="بريد من الوحدة التنظيمية"))&gt;0),
--(((_xlpm.itemStatus="قيد التطوير")+(_xlpm.itemStatus="قيد المراجعة"))&gt;0),
--(_xlpm.sector=TRIM(SUBSTITUTE($AU64,CHAR(160)," "))),
--(_xlpm.dept=TRIM(SUBSTITUTE($AV64,CHAR(160)," ")))
)
)</f>
        <v/>
      </c>
      <c r="CE64" s="88">
        <f>COUNTIFS(Projects[مستوى الإنجاز],"Active",Projects[القطاع],$AU64,Projects[[الإدارة ]],$AV64&amp;"")</f>
        <v/>
      </c>
      <c r="CF64" s="91">
        <f>COUNTIFS(Projects[مستوى الإنجاز],"Cancelled",Projects[القطاع],$AU64,Projects[[الإدارة ]],$AV64&amp;"")+COUNTIFS(Projects[مستوى الإنجاز],"Frozen",Projects[القطاع],$AU64,Projects[[الإدارة ]],$AV64&amp;"")</f>
        <v/>
      </c>
      <c r="CG64" s="88">
        <f>COUNTIFS(Projects[الربع],"Q1",Projects[القطاع],$AU64,Projects[[الإدارة ]],$AV64&amp;"")</f>
        <v/>
      </c>
      <c r="CH64" s="88">
        <f>COUNTIFS(Projects[الربع],"Q2",Projects[القطاع],$AU64,Projects[[الإدارة ]],$AV64&amp;"")</f>
        <v/>
      </c>
      <c r="CI64" s="88">
        <f>COUNTIFS(Projects[الربع],"Q3",Projects[القطاع],$AU64,Projects[[الإدارة ]],$AV64&amp;"")</f>
        <v/>
      </c>
      <c r="CJ64" s="88">
        <f>COUNTIFS(Projects[الربع],"Q4",Projects[القطاع],$AU64,Projects[[الإدارة ]],$AV64&amp;"")</f>
        <v/>
      </c>
    </row>
    <row r="65">
      <c r="AU65" s="85" t="inlineStr">
        <is>
          <t>الاتصال الحكومي وشؤون الأمانة العامة</t>
        </is>
      </c>
      <c r="AV65" s="85" t="inlineStr">
        <is>
          <t>المراسلات والأرشفة</t>
        </is>
      </c>
      <c r="AW65" s="85" t="inlineStr">
        <is>
          <t>الشهر الحالي</t>
        </is>
      </c>
      <c r="AX65" s="85">
        <f t="array" ref="AX65">_xlfn.LET(
_xlpm.results,Strategy[[نتيجة العام ]],
SUMPRODUCT(
--(Strategy[المؤشر]&lt;&gt;"")*
--ISNUMBER(_xlpm.results)*
--(_xlpm.results&lt;&gt;0)*
--(Strategy[القطاع]=($AU65&amp;""))*
--(Strategy[الإدارة]=($AV65&amp;""))
)
)</f>
        <v/>
      </c>
      <c r="AY65" s="85">
        <f>IFERROR(
AVERAGEIFS(
Strategy[[نتيجة العام ]],
Strategy[المؤشر],"&lt;&gt;",
Strategy[[نتيجة العام ]],"&lt;&gt;0",
Strategy[القطاع],$AU65&amp;"",
Strategy[الإدارة],$AV65&amp;""
),
""
)</f>
        <v/>
      </c>
      <c r="AZ65" s="85">
        <f>COUNTIFS(Special[اسم المشروع],"&lt;&gt;",Special[القطاع],$AU65&amp;"",Special[[الإدارة ]],$AV65&amp;"")</f>
        <v/>
      </c>
      <c r="BA65" s="85">
        <f>COUNTIFS(Special[مستوى الإنجاز],"منجز",Special[مشاريع سموه],"نعم",Special[القطاع],$AU65&amp;"",Special[[الإدارة ]],$AV65&amp;"")</f>
        <v/>
      </c>
      <c r="BB65" s="85">
        <f>COUNTIFS(Special[مستوى الإنجاز],"متأخر",Special[مشاريع سموه],"نعم",Special[القطاع],$AU65&amp;"",Special[[الإدارة ]],$AV65&amp;"")</f>
        <v/>
      </c>
      <c r="BC65" s="85">
        <f>COUNTIFS(Special[مستوى الإنجاز],"منجز",Special[مشاريع سموه],"لا",Special[القطاع],$AU65&amp;"",Special[[الإدارة ]],$AV65&amp;"")</f>
        <v/>
      </c>
      <c r="BD65" s="85">
        <f>COUNTIFS(Special[مستوى الإنجاز],"متأخر",Special[مشاريع سموه],"لا",Special[القطاع],$AU65&amp;"",Special[[الإدارة ]],$AV65&amp;"")</f>
        <v/>
      </c>
      <c r="BE65" s="85">
        <f>COUNTIFS(ECSAC[[الموضوع ]],"&lt;&gt;",ECSAC[القطاع],$AU65&amp;"",ECSAC[الإدارة],$AV65&amp;"")</f>
        <v/>
      </c>
      <c r="BF65" s="85">
        <f>COUNTIFS(ECSAC[مستوى الإنجاز],"منجز",ECSAC[القطاع],$AU65&amp;"",ECSAC[الإدارة],$AV65&amp;"")</f>
        <v/>
      </c>
      <c r="BG65" s="85">
        <f>COUNTIFS(ECSAC[مستوى الإنجاز],"متأخر",ECSAC[القطاع],$AU65&amp;"",ECSAC[الإدارة],$AV65&amp;"")</f>
        <v/>
      </c>
      <c r="BH65" s="85">
        <f t="array" ref="BH65">_xlfn.LET(
 _xlpm.topic,IFERROR(Resolutions[الموضوع],""),
 _xlpm.followup,TRIM(SUBSTITUTE(IFERROR(Resolutions[متطلبات المتابعة],""),CHAR(160),"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--(_xlpm.sector=TRIM(SUBSTITUTE($AU65,CHAR(160)," "))),
  --(_xlpm.dept=TRIM(SUBSTITUTE($AV65,CHAR(160)," ")))
 )
)</f>
        <v/>
      </c>
      <c r="BI65" s="85">
        <f t="array" ref="BI65">_xlfn.LET(
 _xlpm.topic,IFERROR(Resolutions[الموضوع],""),
 _xlpm.followup,TRIM(SUBSTITUTE(IFERROR(Resolutions[متطلبات المتابعة],""),CHAR(160)," ")),
 _xlpm.itemStatus,TRIM(SUBSTITUTE(IFERROR(Resolutions[مستوى الإنجاز],""),CHAR(160),"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--(_xlpm.itemStatus="منجز"),
  --(_xlpm.sector=TRIM(SUBSTITUTE($AU65,CHAR(160)," "))),
  --(_xlpm.dept=TRIM(SUBSTITUTE($AV65,CHAR(160)," ")))
 )
)</f>
        <v/>
      </c>
      <c r="BJ65" s="85">
        <f t="array" ref="BJ65">_xlfn.LET(
 _xlpm.topic,IFERROR(Resolutions[الموضوع],""),
 _xlpm.followup,TRIM(SUBSTITUTE(IFERROR(Resolutions[متطلبات المتابعة],""),CHAR(160)," ")),
 _xlpm.itemStatus,TRIM(SUBSTITUTE(IFERROR(Resolutions[مستوى الإنجاز],""),CHAR(160),"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--(_xlpm.itemStatus="متأخر"),
  --(_xlpm.sector=TRIM(SUBSTITUTE($AU65,CHAR(160)," "))),
  --(_xlpm.dept=TRIM(SUBSTITUTE($AV65,CHAR(160)," ")))
 )
)</f>
        <v/>
      </c>
      <c r="BK65" s="85">
        <f>COUNTIFS(Projects[اسم المشروع],"&lt;&gt;",Projects[القطاع],$AU65&amp;"",Projects[[الإدارة ]],$AV65&amp;"")</f>
        <v/>
      </c>
      <c r="BL65" s="85">
        <f>COUNTIFS(Projects[مستوى الإنجاز],"Completed",Projects[القطاع],$AU65&amp;"",Projects[[الإدارة ]],$AV65&amp;"")</f>
        <v/>
      </c>
      <c r="BM65" s="85">
        <f>COUNTIFS(Projects[Late KPI],"Late",Projects[القطاع],$AU65&amp;"",Projects[[الإدارة ]],$AV65&amp;"")</f>
        <v/>
      </c>
      <c r="BN65" s="85">
        <f>COUNTIFS(Legislations[[عنوان التشريع ]],"&lt;&gt;",Legislations[القطاع],$AU65&amp;"",Legislations[الإدارة],$AV65&amp;"")</f>
        <v/>
      </c>
      <c r="BO65" s="85">
        <f>COUNTIFS(Legislations[مؤشرات الأداء],"في الموعد",Legislations[تجاوز الموعد],"&lt;&gt;متأخر",Legislations[القطاع],$AU65&amp;"",Legislations[الإدارة],$AV65&amp;"")</f>
        <v/>
      </c>
      <c r="BP65" s="85">
        <f>COUNTIFS(Legislations[مؤشرات الأداء],"في الموعد",Legislations[تجاوز الموعد],"متأخر",Legislations[القطاع],$AU65&amp;"",Legislations[الإدارة],$AV65&amp;"")</f>
        <v/>
      </c>
      <c r="BQ65" s="85">
        <f>COUNTIFS(Legislations[Late KPI],"متأخر",Legislations[القطاع],$AU65&amp;"",Legislations[الإدارة],$AV65&amp;"")</f>
        <v/>
      </c>
      <c r="BR65" s="85">
        <f t="array" ref="BR65">SUMPRODUCT(IFERROR(--Projects[الموازنة المعتمدة الجديدة],0),--(Projects[القطاع]=$AU65),--(Projects[[الإدارة ]]=$AV65))</f>
        <v/>
      </c>
      <c r="BS65" s="85">
        <f t="array" ref="BS65">SUMPRODUCT(IFERROR(--Projects[المنفق الفعلي],0),--(Projects[القطاع]=$AU65),--(Projects[[الإدارة ]]=$AV65))</f>
        <v/>
      </c>
      <c r="BT65" s="85">
        <f t="array" ref="BT65">SUMPRODUCT(IFERROR(--Projects[المخصص],0),--(Projects[القطاع]=$AU65),--(Projects[[الإدارة ]]=$AV65))</f>
        <v/>
      </c>
      <c r="BU65" s="85">
        <f t="array" ref="BU65">SUMPRODUCT(IFERROR(--Projects[غير المخصص],0),--(Projects[القطاع]=$AU65),--(Projects[[الإدارة ]]=$AV65))</f>
        <v/>
      </c>
      <c r="BV65" s="88">
        <f>COUNTIFS(Special[اسم المشروع],"&lt;&gt;",Special[مشاريع سموه],"نعم",Special[القطاع],$AU65,Special[[الإدارة ]],$AV65&amp;"")</f>
        <v/>
      </c>
      <c r="BW65" s="89">
        <f>COUNTIFS(Special[اسم المشروع],"&lt;&gt;",Special[مشاريع سموه],"لا",Special[القطاع],$AU65,Special[[الإدارة ]],$AV65&amp;"")</f>
        <v/>
      </c>
      <c r="BX65" s="88">
        <f>BV65-BA65-BB65</f>
        <v/>
      </c>
      <c r="BY65" s="88">
        <f>BW65-BC65-BD65</f>
        <v/>
      </c>
      <c r="BZ65" s="88">
        <f>COUNTIFS(ECSAC[[الموضوع ]],"&lt;&gt;",ECSAC[تصنيف الموضوع],"الأجندة السنوية",ECSAC[القطاع],$AU65,ECSAC[الإدارة],$AV65&amp;"")</f>
        <v/>
      </c>
      <c r="CA65" s="88">
        <f>COUNTIFS(ECSAC[[الموضوع ]],"&lt;&gt;",ECSAC[تصنيف الموضوع],"مستجد",ECSAC[القطاع],$AU65,ECSAC[الإدارة],$AV65&amp;"")</f>
        <v/>
      </c>
      <c r="CB65" s="88">
        <f>COUNTIFS(ECSAC[مستوى الإنجاز],"قيد التطوير",ECSAC[القطاع],$AU65,ECSAC[الإدارة],$AV65&amp;"")+COUNTIFS(ECSAC[مستوى الإنجاز],"قيد المراجعة",ECSAC[القطاع],$AU65,ECSAC[الإدارة],$AV65&amp;"")</f>
        <v/>
      </c>
      <c r="CC65" s="88">
        <f>COUNTIFS(ECSAC[مستوى الإنجاز],"جاهز للعرض",ECSAC[القطاع],$AU65,ECSAC[الإدارة],$AV65&amp;"")</f>
        <v/>
      </c>
      <c r="CD65" s="88">
        <f t="array" ref="CD65">_xlfn.LET(
_xlpm.topic,IFERROR(Resolutions[الموضوع],""),
_xlpm.followup,TRIM(SUBSTITUTE(IFERROR(Resolutions[متطلبات المتابعة],""),CHAR(160)," ")),
_xlpm.itemStatus,TRIM(SUBSTITUTE(IFERROR(Resolutions[مستوى الإنجاز],""),CHAR(160)," ")),
_xlpm.sector,TRIM(SUBSTITUTE(IFERROR(Resolutions[القطاع],""),CHAR(160)," ")),
_xlpm.dept,TRIM(SUBSTITUTE(IFERROR(Resolutions[الإدارة],""),CHAR(160)," ")),
SUMPRODUCT(
--(_xlpm.topic&lt;&gt;""),
--(((_xlpm.followup="رسالة رسمية")+(_xlpm.followup="بريد من الوحدة التنظيمية"))&gt;0),
--(((_xlpm.itemStatus="قيد التطوير")+(_xlpm.itemStatus="قيد المراجعة"))&gt;0),
--(_xlpm.sector=TRIM(SUBSTITUTE($AU65,CHAR(160)," "))),
--(_xlpm.dept=TRIM(SUBSTITUTE($AV65,CHAR(160)," ")))
)
)</f>
        <v/>
      </c>
      <c r="CE65" s="88">
        <f>COUNTIFS(Projects[مستوى الإنجاز],"Active",Projects[القطاع],$AU65,Projects[[الإدارة ]],$AV65&amp;"")</f>
        <v/>
      </c>
      <c r="CF65" s="91">
        <f>COUNTIFS(Projects[مستوى الإنجاز],"Cancelled",Projects[القطاع],$AU65,Projects[[الإدارة ]],$AV65&amp;"")+COUNTIFS(Projects[مستوى الإنجاز],"Frozen",Projects[القطاع],$AU65,Projects[[الإدارة ]],$AV65&amp;"")</f>
        <v/>
      </c>
      <c r="CG65" s="88">
        <f>COUNTIFS(Projects[الربع],"Q1",Projects[القطاع],$AU65,Projects[[الإدارة ]],$AV65&amp;"")</f>
        <v/>
      </c>
      <c r="CH65" s="88">
        <f>COUNTIFS(Projects[الربع],"Q2",Projects[القطاع],$AU65,Projects[[الإدارة ]],$AV65&amp;"")</f>
        <v/>
      </c>
      <c r="CI65" s="88">
        <f>COUNTIFS(Projects[الربع],"Q3",Projects[القطاع],$AU65,Projects[[الإدارة ]],$AV65&amp;"")</f>
        <v/>
      </c>
      <c r="CJ65" s="88">
        <f>COUNTIFS(Projects[الربع],"Q4",Projects[القطاع],$AU65,Projects[[الإدارة ]],$AV65&amp;"")</f>
        <v/>
      </c>
    </row>
    <row r="66">
      <c r="AU66" s="85" t="inlineStr">
        <is>
          <t>الاتصال الحكومي وشؤون الأمانة العامة</t>
        </is>
      </c>
      <c r="AV66" s="85" t="inlineStr">
        <is>
          <t>تنفيذ ومتابعة المشاريع الميدانية</t>
        </is>
      </c>
      <c r="AW66" s="85" t="inlineStr">
        <is>
          <t>الشهر الحالي</t>
        </is>
      </c>
      <c r="AX66" s="85">
        <f t="array" ref="AX66">_xlfn.LET(
_xlpm.results,Strategy[[نتيجة العام ]],
SUMPRODUCT(
--(Strategy[المؤشر]&lt;&gt;"")*
--ISNUMBER(_xlpm.results)*
--(_xlpm.results&lt;&gt;0)*
--(Strategy[القطاع]=($AU66&amp;""))*
--(Strategy[الإدارة]=($AV66&amp;""))
)
)</f>
        <v/>
      </c>
      <c r="AY66" s="85">
        <f>IFERROR(
AVERAGEIFS(
Strategy[[نتيجة العام ]],
Strategy[المؤشر],"&lt;&gt;",
Strategy[[نتيجة العام ]],"&lt;&gt;0",
Strategy[القطاع],$AU66&amp;"",
Strategy[الإدارة],$AV66&amp;""
),
""
)</f>
        <v/>
      </c>
      <c r="AZ66" s="85">
        <f>COUNTIFS(Special[اسم المشروع],"&lt;&gt;",Special[القطاع],$AU66&amp;"",Special[[الإدارة ]],$AV66&amp;"")</f>
        <v/>
      </c>
      <c r="BA66" s="85">
        <f>COUNTIFS(Special[مستوى الإنجاز],"منجز",Special[مشاريع سموه],"نعم",Special[القطاع],$AU66&amp;"",Special[[الإدارة ]],$AV66&amp;"")</f>
        <v/>
      </c>
      <c r="BB66" s="85">
        <f>COUNTIFS(Special[مستوى الإنجاز],"متأخر",Special[مشاريع سموه],"نعم",Special[القطاع],$AU66&amp;"",Special[[الإدارة ]],$AV66&amp;"")</f>
        <v/>
      </c>
      <c r="BC66" s="85">
        <f>COUNTIFS(Special[مستوى الإنجاز],"منجز",Special[مشاريع سموه],"لا",Special[القطاع],$AU66&amp;"",Special[[الإدارة ]],$AV66&amp;"")</f>
        <v/>
      </c>
      <c r="BD66" s="85">
        <f>COUNTIFS(Special[مستوى الإنجاز],"متأخر",Special[مشاريع سموه],"لا",Special[القطاع],$AU66&amp;"",Special[[الإدارة ]],$AV66&amp;"")</f>
        <v/>
      </c>
      <c r="BE66" s="85">
        <f>COUNTIFS(ECSAC[[الموضوع ]],"&lt;&gt;",ECSAC[القطاع],$AU66&amp;"",ECSAC[الإدارة],$AV66&amp;"")</f>
        <v/>
      </c>
      <c r="BF66" s="85">
        <f>COUNTIFS(ECSAC[مستوى الإنجاز],"منجز",ECSAC[القطاع],$AU66&amp;"",ECSAC[الإدارة],$AV66&amp;"")</f>
        <v/>
      </c>
      <c r="BG66" s="85">
        <f>COUNTIFS(ECSAC[مستوى الإنجاز],"متأخر",ECSAC[القطاع],$AU66&amp;"",ECSAC[الإدارة],$AV66&amp;"")</f>
        <v/>
      </c>
      <c r="BH66" s="85">
        <f t="array" ref="BH66">_xlfn.LET(
 _xlpm.topic,IFERROR(Resolutions[الموضوع],""),
 _xlpm.followup,TRIM(SUBSTITUTE(IFERROR(Resolutions[متطلبات المتابعة],""),CHAR(160),"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--(_xlpm.sector=TRIM(SUBSTITUTE($AU66,CHAR(160)," "))),
  --(_xlpm.dept=TRIM(SUBSTITUTE($AV66,CHAR(160)," ")))
 )
)</f>
        <v/>
      </c>
      <c r="BI66" s="85">
        <f t="array" ref="BI66">_xlfn.LET(
 _xlpm.topic,IFERROR(Resolutions[الموضوع],""),
 _xlpm.followup,TRIM(SUBSTITUTE(IFERROR(Resolutions[متطلبات المتابعة],""),CHAR(160)," ")),
 _xlpm.itemStatus,TRIM(SUBSTITUTE(IFERROR(Resolutions[مستوى الإنجاز],""),CHAR(160),"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--(_xlpm.itemStatus="منجز"),
  --(_xlpm.sector=TRIM(SUBSTITUTE($AU66,CHAR(160)," "))),
  --(_xlpm.dept=TRIM(SUBSTITUTE($AV66,CHAR(160)," ")))
 )
)</f>
        <v/>
      </c>
      <c r="BJ66" s="85">
        <f t="array" ref="BJ66">_xlfn.LET(
 _xlpm.topic,IFERROR(Resolutions[الموضوع],""),
 _xlpm.followup,TRIM(SUBSTITUTE(IFERROR(Resolutions[متطلبات المتابعة],""),CHAR(160)," ")),
 _xlpm.itemStatus,TRIM(SUBSTITUTE(IFERROR(Resolutions[مستوى الإنجاز],""),CHAR(160)," ")),
 _xlpm.sector,TRIM(SUBSTITUTE(IFERROR(Resolutions[القطاع],""),CHAR(160)," ")),
 _xlpm.dept,TRIM(SUBSTITUTE(IFERROR(Resolutions[الإدارة],""),CHAR(160)," ")),
 SUMPRODUCT(
  --(_xlpm.topic&lt;&gt;""),
  --(((_xlpm.followup="رسالة رسمية")+(_xlpm.followup="بريد من الوحدة التنظيمية"))&gt;0),
  --(_xlpm.itemStatus="متأخر"),
  --(_xlpm.sector=TRIM(SUBSTITUTE($AU66,CHAR(160)," "))),
  --(_xlpm.dept=TRIM(SUBSTITUTE($AV66,CHAR(160)," ")))
 )
)</f>
        <v/>
      </c>
      <c r="BK66" s="85">
        <f>COUNTIFS(Projects[اسم المشروع],"&lt;&gt;",Projects[القطاع],$AU66&amp;"",Projects[[الإدارة ]],$AV66&amp;"")</f>
        <v/>
      </c>
      <c r="BL66" s="85">
        <f>COUNTIFS(Projects[مستوى الإنجاز],"Completed",Projects[القطاع],$AU66&amp;"",Projects[[الإدارة ]],$AV66&amp;"")</f>
        <v/>
      </c>
      <c r="BM66" s="85">
        <f>COUNTIFS(Projects[Late KPI],"Late",Projects[القطاع],$AU66&amp;"",Projects[[الإدارة ]],$AV66&amp;"")</f>
        <v/>
      </c>
      <c r="BN66" s="85">
        <f>COUNTIFS(Legislations[[عنوان التشريع ]],"&lt;&gt;",Legislations[القطاع],$AU66&amp;"",Legislations[الإدارة],$AV66&amp;"")</f>
        <v/>
      </c>
      <c r="BO66" s="85">
        <f>COUNTIFS(Legislations[مؤشرات الأداء],"في الموعد",Legislations[تجاوز الموعد],"&lt;&gt;متأخر",Legislations[القطاع],$AU66&amp;"",Legislations[الإدارة],$AV66&amp;"")</f>
        <v/>
      </c>
      <c r="BP66" s="85">
        <f>COUNTIFS(Legislations[مؤشرات الأداء],"في الموعد",Legislations[تجاوز الموعد],"متأخر",Legislations[القطاع],$AU66&amp;"",Legislations[الإدارة],$AV66&amp;"")</f>
        <v/>
      </c>
      <c r="BQ66" s="85">
        <f>COUNTIFS(Legislations[Late KPI],"متأخر",Legislations[القطاع],$AU66&amp;"",Legislations[الإدارة],$AV66&amp;"")</f>
        <v/>
      </c>
      <c r="BR66" s="85">
        <f t="array" ref="BR66">SUMPRODUCT(IFERROR(--Projects[الموازنة المعتمدة الجديدة],0),--(Projects[القطاع]=$AU66),--(Projects[[الإدارة ]]=$AV66))</f>
        <v/>
      </c>
      <c r="BS66" s="85">
        <f t="array" ref="BS66">SUMPRODUCT(IFERROR(--Projects[المنفق الفعلي],0),--(Projects[القطاع]=$AU66),--(Projects[[الإدارة ]]=$AV66))</f>
        <v/>
      </c>
      <c r="BT66" s="85">
        <f t="array" ref="BT66">SUMPRODUCT(IFERROR(--Projects[المخصص],0),--(Projects[القطاع]=$AU66),--(Projects[[الإدارة ]]=$AV66))</f>
        <v/>
      </c>
      <c r="BU66" s="85">
        <f t="array" ref="BU66">SUMPRODUCT(IFERROR(--Projects[غير المخصص],0),--(Projects[القطاع]=$AU66),--(Projects[[الإدارة ]]=$AV66))</f>
        <v/>
      </c>
      <c r="BV66" s="88">
        <f>COUNTIFS(Special[اسم المشروع],"&lt;&gt;",Special[مشاريع سموه],"نعم",Special[القطاع],$AU66,Special[[الإدارة ]],$AV66&amp;"")</f>
        <v/>
      </c>
      <c r="BW66" s="89">
        <f>COUNTIFS(Special[اسم المشروع],"&lt;&gt;",Special[مشاريع سموه],"لا",Special[القطاع],$AU66,Special[[الإدارة ]],$AV66&amp;"")</f>
        <v/>
      </c>
      <c r="BX66" s="88">
        <f>BV66-BA66-BB66</f>
        <v/>
      </c>
      <c r="BY66" s="88">
        <f>BW66-BC66-BD66</f>
        <v/>
      </c>
      <c r="BZ66" s="88">
        <f>COUNTIFS(ECSAC[[الموضوع ]],"&lt;&gt;",ECSAC[تصنيف الموضوع],"الأجندة السنوية",ECSAC[القطاع],$AU66,ECSAC[الإدارة],$AV66&amp;"")</f>
        <v/>
      </c>
      <c r="CA66" s="88">
        <f>COUNTIFS(ECSAC[[الموضوع ]],"&lt;&gt;",ECSAC[تصنيف الموضوع],"مستجد",ECSAC[القطاع],$AU66,ECSAC[الإدارة],$AV66&amp;"")</f>
        <v/>
      </c>
      <c r="CB66" s="88">
        <f>COUNTIFS(ECSAC[مستوى الإنجاز],"قيد التطوير",ECSAC[القطاع],$AU66,ECSAC[الإدارة],$AV66&amp;"")+COUNTIFS(ECSAC[مستوى الإنجاز],"قيد المراجعة",ECSAC[القطاع],$AU66,ECSAC[الإدارة],$AV66&amp;"")</f>
        <v/>
      </c>
      <c r="CC66" s="88">
        <f>COUNTIFS(ECSAC[مستوى الإنجاز],"جاهز للعرض",ECSAC[القطاع],$AU66,ECSAC[الإدارة],$AV66&amp;"")</f>
        <v/>
      </c>
      <c r="CD66" s="88">
        <f t="array" ref="CD66">_xlfn.LET(
_xlpm.topic,IFERROR(Resolutions[الموضوع],""),
_xlpm.followup,TRIM(SUBSTITUTE(IFERROR(Resolutions[متطلبات المتابعة],""),CHAR(160)," ")),
_xlpm.itemStatus,TRIM(SUBSTITUTE(IFERROR(Resolutions[مستوى الإنجاز],""),CHAR(160)," ")),
_xlpm.sector,TRIM(SUBSTITUTE(IFERROR(Resolutions[القطاع],""),CHAR(160)," ")),
_xlpm.dept,TRIM(SUBSTITUTE(IFERROR(Resolutions[الإدارة],""),CHAR(160)," ")),
SUMPRODUCT(
--(_xlpm.topic&lt;&gt;""),
--(((_xlpm.followup="رسالة رسمية")+(_xlpm.followup="بريد من الوحدة التنظيمية"))&gt;0),
--(((_xlpm.itemStatus="قيد التطوير")+(_xlpm.itemStatus="قيد المراجعة"))&gt;0),
--(_xlpm.sector=TRIM(SUBSTITUTE($AU66,CHAR(160)," "))),
--(_xlpm.dept=TRIM(SUBSTITUTE($AV66,CHAR(160)," ")))
)
)</f>
        <v/>
      </c>
      <c r="CE66" s="88">
        <f>COUNTIFS(Projects[مستوى الإنجاز],"Active",Projects[القطاع],$AU66,Projects[[الإدارة ]],$AV66&amp;"")</f>
        <v/>
      </c>
      <c r="CF66" s="91">
        <f>COUNTIFS(Projects[مستوى الإنجاز],"Cancelled",Projects[القطاع],$AU66,Projects[[الإدارة ]],$AV66&amp;"")+COUNTIFS(Projects[مستوى الإنجاز],"Frozen",Projects[القطاع],$AU66,Projects[[الإدارة ]],$AV66&amp;"")</f>
        <v/>
      </c>
      <c r="CG66" s="88">
        <f>COUNTIFS(Projects[الربع],"Q1",Projects[القطاع],$AU66,Projects[[الإدارة ]],$AV66&amp;"")</f>
        <v/>
      </c>
      <c r="CH66" s="88">
        <f>COUNTIFS(Projects[الربع],"Q2",Projects[القطاع],$AU66,Projects[[الإدارة ]],$AV66&amp;"")</f>
        <v/>
      </c>
      <c r="CI66" s="88">
        <f>COUNTIFS(Projects[الربع],"Q3",Projects[القطاع],$AU66,Projects[[الإدارة ]],$AV66&amp;"")</f>
        <v/>
      </c>
      <c r="CJ66" s="88">
        <f>COUNTIFS(Projects[الربع],"Q4",Projects[القطاع],$AU66,Projects[[الإدارة ]],$AV66&amp;"")</f>
        <v/>
      </c>
    </row>
    <row r="67">
      <c r="AU67" s="54" t="n"/>
      <c r="AV67" s="54" t="n"/>
      <c r="AW67" s="54" t="n"/>
      <c r="AX67" s="54" t="n"/>
      <c r="AY67" s="54" t="n"/>
      <c r="AZ67" s="54" t="n"/>
      <c r="BA67" s="54" t="n"/>
      <c r="BB67" s="54" t="n"/>
      <c r="BC67" s="54" t="n"/>
      <c r="BD67" s="54" t="n"/>
      <c r="BE67" s="54" t="n"/>
      <c r="BF67" s="54" t="n"/>
      <c r="BG67" s="54" t="n"/>
      <c r="BH67" s="54" t="n"/>
      <c r="BI67" s="54" t="n"/>
      <c r="BJ67" s="54" t="n"/>
      <c r="BK67" s="54" t="n"/>
      <c r="BL67" s="54" t="n"/>
      <c r="BM67" s="54" t="n"/>
      <c r="BN67" s="54" t="n"/>
      <c r="BO67" s="54" t="n"/>
      <c r="BP67" s="54" t="n"/>
      <c r="BQ67" s="54" t="n"/>
      <c r="BR67" s="54" t="n"/>
      <c r="BS67" s="54" t="n"/>
      <c r="BT67" s="54" t="n"/>
      <c r="BU67" s="54" t="n"/>
    </row>
    <row r="68">
      <c r="AU68" s="54" t="n"/>
      <c r="AV68" s="54" t="n"/>
      <c r="AW68" s="54" t="n"/>
      <c r="AX68" s="54" t="n"/>
      <c r="AY68" s="54" t="n"/>
      <c r="AZ68" s="54" t="n"/>
      <c r="BA68" s="54" t="n"/>
      <c r="BB68" s="54" t="n"/>
      <c r="BC68" s="54" t="n"/>
      <c r="BD68" s="54" t="n"/>
      <c r="BE68" s="54" t="n"/>
      <c r="BF68" s="54" t="n"/>
      <c r="BG68" s="54" t="n"/>
      <c r="BH68" s="54" t="n"/>
      <c r="BI68" s="54" t="n"/>
      <c r="BJ68" s="54" t="n"/>
      <c r="BK68" s="54" t="n"/>
      <c r="BL68" s="54" t="n"/>
      <c r="BM68" s="54" t="n"/>
      <c r="BN68" s="54" t="n"/>
      <c r="BO68" s="54" t="n"/>
      <c r="BP68" s="54" t="n"/>
      <c r="BQ68" s="54" t="n"/>
      <c r="BR68" s="54" t="n"/>
      <c r="BS68" s="54" t="n"/>
      <c r="BT68" s="54" t="n"/>
      <c r="BU68" s="54" t="n"/>
    </row>
    <row r="69">
      <c r="AU69" s="54" t="n"/>
      <c r="AV69" s="54" t="n"/>
      <c r="AW69" s="54" t="n"/>
      <c r="AX69" s="54" t="n"/>
      <c r="AY69" s="54" t="n"/>
      <c r="AZ69" s="54" t="n"/>
      <c r="BA69" s="54" t="n"/>
      <c r="BB69" s="54" t="n"/>
      <c r="BC69" s="54" t="n"/>
      <c r="BD69" s="54" t="n"/>
      <c r="BE69" s="54" t="n"/>
      <c r="BF69" s="54" t="n"/>
      <c r="BG69" s="54" t="n"/>
      <c r="BH69" s="54" t="n"/>
      <c r="BI69" s="54" t="n"/>
      <c r="BJ69" s="54" t="n"/>
      <c r="BK69" s="54" t="n"/>
      <c r="BL69" s="54" t="n"/>
      <c r="BM69" s="54" t="n"/>
      <c r="BN69" s="54" t="n"/>
      <c r="BO69" s="54" t="n"/>
      <c r="BP69" s="54" t="n"/>
      <c r="BQ69" s="54" t="n"/>
      <c r="BR69" s="54" t="n"/>
      <c r="BS69" s="54" t="n"/>
      <c r="BT69" s="54" t="n"/>
      <c r="BU69" s="54" t="n"/>
    </row>
    <row r="70">
      <c r="AU70" s="54" t="n"/>
      <c r="AV70" s="54" t="n"/>
      <c r="AW70" s="54" t="n"/>
      <c r="AX70" s="54" t="n"/>
      <c r="AY70" s="54" t="n"/>
      <c r="AZ70" s="54" t="n"/>
      <c r="BA70" s="54" t="n"/>
      <c r="BB70" s="54" t="n"/>
      <c r="BC70" s="54" t="n"/>
      <c r="BD70" s="54" t="n"/>
      <c r="BE70" s="54" t="n"/>
      <c r="BF70" s="54" t="n"/>
      <c r="BG70" s="54" t="n"/>
      <c r="BH70" s="54" t="n"/>
      <c r="BI70" s="54" t="n"/>
      <c r="BJ70" s="54" t="n"/>
      <c r="BK70" s="54" t="n"/>
      <c r="BL70" s="54" t="n"/>
      <c r="BM70" s="54" t="n"/>
      <c r="BN70" s="54" t="n"/>
      <c r="BO70" s="54" t="n"/>
      <c r="BP70" s="54" t="n"/>
      <c r="BQ70" s="54" t="n"/>
      <c r="BR70" s="54" t="n"/>
      <c r="BS70" s="54" t="n"/>
      <c r="BT70" s="54" t="n"/>
      <c r="BU70" s="54" t="n"/>
    </row>
    <row r="71">
      <c r="AU71" s="54" t="n"/>
      <c r="AV71" s="54" t="n"/>
      <c r="AW71" s="54" t="n"/>
      <c r="AX71" s="54" t="n"/>
      <c r="AY71" s="54" t="n"/>
      <c r="AZ71" s="54" t="n"/>
      <c r="BA71" s="54" t="n"/>
      <c r="BB71" s="54" t="n"/>
      <c r="BC71" s="54" t="n"/>
      <c r="BD71" s="54" t="n"/>
      <c r="BE71" s="54" t="n"/>
      <c r="BF71" s="54" t="n"/>
      <c r="BG71" s="54" t="n"/>
      <c r="BH71" s="54" t="n"/>
      <c r="BI71" s="54" t="n"/>
      <c r="BJ71" s="54" t="n"/>
      <c r="BK71" s="54" t="n"/>
      <c r="BL71" s="54" t="n"/>
      <c r="BM71" s="54" t="n"/>
      <c r="BN71" s="54" t="n"/>
      <c r="BO71" s="54" t="n"/>
      <c r="BP71" s="54" t="n"/>
      <c r="BQ71" s="54" t="n"/>
      <c r="BR71" s="54" t="n"/>
      <c r="BS71" s="54" t="n"/>
      <c r="BT71" s="54" t="n"/>
      <c r="BU71" s="54" t="n"/>
    </row>
    <row r="72">
      <c r="AU72" s="54" t="inlineStr">
        <is>
          <t>الأمانة العامة للمجلس التنفيذي</t>
        </is>
      </c>
      <c r="AV72" s="54" t="inlineStr">
        <is>
          <t>مكتب الأمين العام</t>
        </is>
      </c>
      <c r="AW72" s="54" t="n"/>
      <c r="AX72" s="54" t="n"/>
      <c r="AY72" s="54" t="n"/>
      <c r="AZ72" s="54" t="n"/>
      <c r="BA72" s="54" t="n"/>
      <c r="BB72" s="54" t="n"/>
      <c r="BC72" s="54" t="n"/>
      <c r="BD72" s="54" t="n"/>
      <c r="BE72" s="54" t="n"/>
      <c r="BF72" s="54" t="n"/>
      <c r="BG72" s="54" t="n"/>
      <c r="BH72" s="54" t="n"/>
      <c r="BI72" s="54" t="n"/>
      <c r="BJ72" s="54" t="n"/>
      <c r="BK72" s="54" t="n"/>
      <c r="BL72" s="54" t="n"/>
      <c r="BM72" s="54" t="n"/>
      <c r="BN72" s="54" t="n"/>
      <c r="BO72" s="54" t="n"/>
      <c r="BP72" s="54" t="n"/>
      <c r="BQ72" s="54" t="n"/>
      <c r="BR72" s="54" t="n"/>
      <c r="BS72" s="54" t="n"/>
      <c r="BT72" s="54" t="n"/>
      <c r="BU72" s="54" t="n"/>
    </row>
    <row r="73">
      <c r="AU73" s="54" t="inlineStr">
        <is>
          <t>الأمانة العامة للمجلس التنفيذي</t>
        </is>
      </c>
      <c r="AV73" s="54" t="inlineStr">
        <is>
          <t>مكتب خطة دبي</t>
        </is>
      </c>
      <c r="AW73" s="54" t="n"/>
      <c r="AX73" s="54" t="n"/>
      <c r="AY73" s="54" t="n"/>
      <c r="AZ73" s="54" t="n"/>
      <c r="BA73" s="54" t="n"/>
      <c r="BB73" s="54" t="n"/>
      <c r="BC73" s="54" t="n"/>
      <c r="BD73" s="54" t="n"/>
      <c r="BE73" s="54" t="n"/>
      <c r="BF73" s="54" t="n"/>
      <c r="BG73" s="54" t="n"/>
      <c r="BH73" s="54" t="n"/>
      <c r="BI73" s="54" t="n"/>
      <c r="BJ73" s="54" t="n"/>
      <c r="BK73" s="54" t="n"/>
      <c r="BL73" s="54" t="n"/>
      <c r="BM73" s="54" t="n"/>
      <c r="BN73" s="54" t="n"/>
      <c r="BO73" s="54" t="n"/>
      <c r="BP73" s="54" t="n"/>
      <c r="BQ73" s="54" t="n"/>
      <c r="BR73" s="54" t="n"/>
      <c r="BS73" s="54" t="n"/>
      <c r="BT73" s="54" t="n"/>
      <c r="BU73" s="54" t="n"/>
    </row>
    <row r="74">
      <c r="AU74" s="54" t="inlineStr">
        <is>
          <t>الأمانة العامة للمجلس التنفيذي</t>
        </is>
      </c>
      <c r="AV74" s="54" t="inlineStr">
        <is>
          <t>مكتب التدقيق الداخلي</t>
        </is>
      </c>
      <c r="AW74" s="54" t="n"/>
      <c r="AX74" s="54" t="n"/>
      <c r="AY74" s="54" t="n"/>
      <c r="AZ74" s="54" t="n"/>
      <c r="BA74" s="54" t="n"/>
      <c r="BB74" s="54" t="n"/>
      <c r="BC74" s="54" t="n"/>
      <c r="BD74" s="54" t="n"/>
      <c r="BE74" s="54" t="n"/>
      <c r="BF74" s="54" t="n"/>
      <c r="BG74" s="54" t="n"/>
      <c r="BH74" s="54" t="n"/>
      <c r="BI74" s="54" t="n"/>
      <c r="BJ74" s="54" t="n"/>
      <c r="BK74" s="54" t="n"/>
      <c r="BL74" s="54" t="n"/>
      <c r="BM74" s="54" t="n"/>
      <c r="BN74" s="54" t="n"/>
      <c r="BO74" s="54" t="n"/>
      <c r="BP74" s="54" t="n"/>
      <c r="BQ74" s="54" t="n"/>
      <c r="BR74" s="54" t="n"/>
      <c r="BS74" s="54" t="n"/>
      <c r="BT74" s="54" t="n"/>
      <c r="BU74" s="54" t="n"/>
    </row>
    <row r="75">
      <c r="AU75" s="54" t="inlineStr">
        <is>
          <t>الأمانة العامة للمجلس التنفيذي</t>
        </is>
      </c>
      <c r="AV75" s="54" t="inlineStr">
        <is>
          <t>الأبحاث والرصد</t>
        </is>
      </c>
      <c r="AW75" s="54" t="n"/>
      <c r="AX75" s="54" t="n"/>
      <c r="AY75" s="54" t="n"/>
      <c r="AZ75" s="54" t="n"/>
      <c r="BA75" s="54" t="n"/>
      <c r="BB75" s="54" t="n"/>
      <c r="BC75" s="54" t="n"/>
      <c r="BD75" s="54" t="n"/>
      <c r="BE75" s="54" t="n"/>
      <c r="BF75" s="54" t="n"/>
      <c r="BG75" s="54" t="n"/>
      <c r="BH75" s="54" t="n"/>
      <c r="BI75" s="54" t="n"/>
      <c r="BJ75" s="54" t="n"/>
      <c r="BK75" s="54" t="n"/>
      <c r="BL75" s="54" t="n"/>
      <c r="BM75" s="54" t="n"/>
      <c r="BN75" s="54" t="n"/>
      <c r="BO75" s="54" t="n"/>
      <c r="BP75" s="54" t="n"/>
      <c r="BQ75" s="54" t="n"/>
      <c r="BR75" s="54" t="n"/>
      <c r="BS75" s="54" t="n"/>
      <c r="BT75" s="54" t="n"/>
      <c r="BU75" s="54" t="n"/>
    </row>
    <row r="76">
      <c r="AU76" s="54" t="inlineStr">
        <is>
          <t>الأمانة العامة للمجلس التنفيذي</t>
        </is>
      </c>
      <c r="AV76" s="54" t="inlineStr">
        <is>
          <t>الشراكات والعلاقات الدولية</t>
        </is>
      </c>
      <c r="AW76" s="54" t="n"/>
      <c r="AX76" s="54" t="n"/>
      <c r="AY76" s="54" t="n"/>
      <c r="AZ76" s="54" t="n"/>
      <c r="BA76" s="54" t="n"/>
      <c r="BB76" s="54" t="n"/>
      <c r="BC76" s="54" t="n"/>
      <c r="BD76" s="54" t="n"/>
      <c r="BE76" s="54" t="n"/>
      <c r="BF76" s="54" t="n"/>
      <c r="BG76" s="54" t="n"/>
      <c r="BH76" s="54" t="n"/>
      <c r="BI76" s="54" t="n"/>
      <c r="BJ76" s="54" t="n"/>
      <c r="BK76" s="54" t="n"/>
      <c r="BL76" s="54" t="n"/>
      <c r="BM76" s="54" t="n"/>
      <c r="BN76" s="54" t="n"/>
      <c r="BO76" s="54" t="n"/>
      <c r="BP76" s="54" t="n"/>
      <c r="BQ76" s="54" t="n"/>
      <c r="BR76" s="54" t="n"/>
      <c r="BS76" s="54" t="n"/>
      <c r="BT76" s="54" t="n"/>
      <c r="BU76" s="54" t="n"/>
    </row>
    <row r="77">
      <c r="AU77" s="54" t="inlineStr">
        <is>
          <t>الاقتصاد والتنمية الاجتماعية</t>
        </is>
      </c>
      <c r="AV77" s="54" t="inlineStr">
        <is>
          <t>السياسات والإستراتيجيات الاقتصادية</t>
        </is>
      </c>
      <c r="AW77" s="54" t="n"/>
      <c r="AX77" s="54" t="n"/>
      <c r="AY77" s="54" t="n"/>
      <c r="AZ77" s="54" t="n"/>
      <c r="BA77" s="54" t="n"/>
      <c r="BB77" s="54" t="n"/>
      <c r="BC77" s="54" t="n"/>
      <c r="BD77" s="54" t="n"/>
      <c r="BE77" s="54" t="n"/>
      <c r="BF77" s="54" t="n"/>
      <c r="BG77" s="54" t="n"/>
      <c r="BH77" s="54" t="n"/>
      <c r="BI77" s="54" t="n"/>
      <c r="BJ77" s="54" t="n"/>
      <c r="BK77" s="54" t="n"/>
      <c r="BL77" s="54" t="n"/>
      <c r="BM77" s="54" t="n"/>
      <c r="BN77" s="54" t="n"/>
      <c r="BO77" s="54" t="n"/>
      <c r="BP77" s="54" t="n"/>
      <c r="BQ77" s="54" t="n"/>
      <c r="BR77" s="54" t="n"/>
      <c r="BS77" s="54" t="n"/>
      <c r="BT77" s="54" t="n"/>
      <c r="BU77" s="54" t="n"/>
    </row>
    <row r="78">
      <c r="AU78" s="54" t="inlineStr">
        <is>
          <t>الاقتصاد والتنمية الاجتماعية</t>
        </is>
      </c>
      <c r="AV78" s="54" t="inlineStr">
        <is>
          <t>السياسات والإستراتيجيات الاجتماعية</t>
        </is>
      </c>
      <c r="AW78" s="54" t="n"/>
      <c r="AX78" s="54" t="n"/>
      <c r="AY78" s="54" t="n"/>
      <c r="AZ78" s="54" t="n"/>
      <c r="BA78" s="54" t="n"/>
      <c r="BB78" s="54" t="n"/>
      <c r="BC78" s="54" t="n"/>
      <c r="BD78" s="54" t="n"/>
      <c r="BE78" s="54" t="n"/>
      <c r="BF78" s="54" t="n"/>
      <c r="BG78" s="54" t="n"/>
      <c r="BH78" s="54" t="n"/>
      <c r="BI78" s="54" t="n"/>
      <c r="BJ78" s="54" t="n"/>
      <c r="BK78" s="54" t="n"/>
      <c r="BL78" s="54" t="n"/>
      <c r="BM78" s="54" t="n"/>
      <c r="BN78" s="54" t="n"/>
      <c r="BO78" s="54" t="n"/>
      <c r="BP78" s="54" t="n"/>
      <c r="BQ78" s="54" t="n"/>
      <c r="BR78" s="54" t="n"/>
      <c r="BS78" s="54" t="n"/>
      <c r="BT78" s="54" t="n"/>
      <c r="BU78" s="54" t="n"/>
    </row>
    <row r="79">
      <c r="AU79" s="54" t="inlineStr">
        <is>
          <t>الاقتصاد والتنمية الاجتماعية</t>
        </is>
      </c>
      <c r="AV79" s="54" t="n"/>
      <c r="AW79" s="54" t="n"/>
      <c r="AX79" s="54" t="n"/>
      <c r="AY79" s="54" t="n"/>
      <c r="AZ79" s="54" t="n"/>
      <c r="BA79" s="54" t="n"/>
      <c r="BB79" s="54" t="n"/>
      <c r="BC79" s="54" t="n"/>
      <c r="BD79" s="54" t="n"/>
      <c r="BE79" s="54" t="n"/>
      <c r="BF79" s="54" t="n"/>
      <c r="BG79" s="54" t="n"/>
      <c r="BH79" s="54" t="n"/>
      <c r="BI79" s="54" t="n"/>
      <c r="BJ79" s="54" t="n"/>
      <c r="BK79" s="54" t="n"/>
      <c r="BL79" s="54" t="n"/>
      <c r="BM79" s="54" t="n"/>
      <c r="BN79" s="54" t="n"/>
      <c r="BO79" s="54" t="n"/>
      <c r="BP79" s="54" t="n"/>
      <c r="BQ79" s="54" t="n"/>
      <c r="BR79" s="54" t="n"/>
      <c r="BS79" s="54" t="n"/>
      <c r="BT79" s="54" t="n"/>
      <c r="BU79" s="54" t="n"/>
    </row>
    <row r="80">
      <c r="AU80" s="54" t="inlineStr">
        <is>
          <t>التميز والخدمات الحكومية</t>
        </is>
      </c>
      <c r="AV80" s="54" t="inlineStr">
        <is>
          <t>التميز والخدمات الحكومية</t>
        </is>
      </c>
      <c r="AW80" s="54" t="n"/>
      <c r="AX80" s="54" t="n"/>
      <c r="AY80" s="54" t="n"/>
      <c r="AZ80" s="54" t="n"/>
      <c r="BA80" s="54" t="n"/>
      <c r="BB80" s="54" t="n"/>
      <c r="BC80" s="54" t="n"/>
      <c r="BD80" s="54" t="n"/>
      <c r="BE80" s="54" t="n"/>
      <c r="BF80" s="54" t="n"/>
      <c r="BG80" s="54" t="n"/>
      <c r="BH80" s="54" t="n"/>
      <c r="BI80" s="54" t="n"/>
      <c r="BJ80" s="54" t="n"/>
      <c r="BK80" s="54" t="n"/>
      <c r="BL80" s="54" t="n"/>
      <c r="BM80" s="54" t="n"/>
      <c r="BN80" s="54" t="n"/>
      <c r="BO80" s="54" t="n"/>
      <c r="BP80" s="54" t="n"/>
      <c r="BQ80" s="54" t="n"/>
      <c r="BR80" s="54" t="n"/>
      <c r="BS80" s="54" t="n"/>
      <c r="BT80" s="54" t="n"/>
      <c r="BU80" s="54" t="n"/>
    </row>
    <row r="81">
      <c r="AU81" s="54" t="inlineStr">
        <is>
          <t>التميز والخدمات الحكومية</t>
        </is>
      </c>
      <c r="AV81" s="54" t="inlineStr">
        <is>
          <t>التقييم والدراسات</t>
        </is>
      </c>
      <c r="AW81" s="54" t="n"/>
      <c r="AX81" s="54" t="n"/>
      <c r="AY81" s="54" t="n"/>
      <c r="AZ81" s="54" t="n"/>
      <c r="BA81" s="54" t="n"/>
      <c r="BB81" s="54" t="n"/>
      <c r="BC81" s="54" t="n"/>
      <c r="BD81" s="54" t="n"/>
      <c r="BE81" s="54" t="n"/>
      <c r="BF81" s="54" t="n"/>
      <c r="BG81" s="54" t="n"/>
      <c r="BH81" s="54" t="n"/>
      <c r="BI81" s="54" t="n"/>
      <c r="BJ81" s="54" t="n"/>
      <c r="BK81" s="54" t="n"/>
      <c r="BL81" s="54" t="n"/>
      <c r="BM81" s="54" t="n"/>
      <c r="BN81" s="54" t="n"/>
      <c r="BO81" s="54" t="n"/>
      <c r="BP81" s="54" t="n"/>
      <c r="BQ81" s="54" t="n"/>
      <c r="BR81" s="54" t="n"/>
      <c r="BS81" s="54" t="n"/>
      <c r="BT81" s="54" t="n"/>
      <c r="BU81" s="54" t="n"/>
    </row>
    <row r="82">
      <c r="AU82" s="54" t="inlineStr">
        <is>
          <t>التميز والخدمات الحكومية</t>
        </is>
      </c>
      <c r="AV82" s="54" t="n"/>
      <c r="AW82" s="54" t="n"/>
      <c r="AX82" s="54" t="n"/>
      <c r="AY82" s="54" t="n"/>
      <c r="AZ82" s="54" t="n"/>
      <c r="BA82" s="54" t="n"/>
      <c r="BB82" s="54" t="n"/>
      <c r="BC82" s="54" t="n"/>
      <c r="BD82" s="54" t="n"/>
      <c r="BE82" s="54" t="n"/>
      <c r="BF82" s="54" t="n"/>
      <c r="BG82" s="54" t="n"/>
      <c r="BH82" s="54" t="n"/>
      <c r="BI82" s="54" t="n"/>
      <c r="BJ82" s="54" t="n"/>
      <c r="BK82" s="54" t="n"/>
      <c r="BL82" s="54" t="n"/>
      <c r="BM82" s="54" t="n"/>
      <c r="BN82" s="54" t="n"/>
      <c r="BO82" s="54" t="n"/>
      <c r="BP82" s="54" t="n"/>
      <c r="BQ82" s="54" t="n"/>
      <c r="BR82" s="54" t="n"/>
      <c r="BS82" s="54" t="n"/>
      <c r="BT82" s="54" t="n"/>
      <c r="BU82" s="54" t="n"/>
    </row>
    <row r="83">
      <c r="AU83" s="54" t="inlineStr">
        <is>
          <t>التنمية المستدامة</t>
        </is>
      </c>
      <c r="AV83" s="54" t="inlineStr">
        <is>
          <t>السياسات والاستراتيجيات البيئية والبنية التحتية</t>
        </is>
      </c>
      <c r="AW83" s="54" t="n"/>
      <c r="AX83" s="54" t="n"/>
      <c r="AY83" s="54" t="n"/>
      <c r="AZ83" s="54" t="n"/>
      <c r="BA83" s="54" t="n"/>
      <c r="BB83" s="54" t="n"/>
      <c r="BC83" s="54" t="n"/>
      <c r="BD83" s="54" t="n"/>
      <c r="BE83" s="54" t="n"/>
      <c r="BF83" s="54" t="n"/>
      <c r="BG83" s="54" t="n"/>
      <c r="BH83" s="54" t="n"/>
      <c r="BI83" s="54" t="n"/>
      <c r="BJ83" s="54" t="n"/>
      <c r="BK83" s="54" t="n"/>
      <c r="BL83" s="54" t="n"/>
      <c r="BM83" s="54" t="n"/>
      <c r="BN83" s="54" t="n"/>
      <c r="BO83" s="54" t="n"/>
      <c r="BP83" s="54" t="n"/>
      <c r="BQ83" s="54" t="n"/>
      <c r="BR83" s="54" t="n"/>
      <c r="BS83" s="54" t="n"/>
      <c r="BT83" s="54" t="n"/>
      <c r="BU83" s="54" t="n"/>
    </row>
    <row r="84">
      <c r="AU84" s="54" t="inlineStr">
        <is>
          <t>التنمية المستدامة</t>
        </is>
      </c>
      <c r="AV84" s="54" t="inlineStr">
        <is>
          <t>السياسات والاستراتيجيات الصحية والعدل</t>
        </is>
      </c>
      <c r="AW84" s="54" t="n"/>
      <c r="AX84" s="54" t="n"/>
      <c r="AY84" s="54" t="n"/>
      <c r="AZ84" s="54" t="n"/>
      <c r="BA84" s="54" t="n"/>
      <c r="BB84" s="54" t="n"/>
      <c r="BC84" s="54" t="n"/>
      <c r="BD84" s="54" t="n"/>
      <c r="BE84" s="54" t="n"/>
      <c r="BF84" s="54" t="n"/>
      <c r="BG84" s="54" t="n"/>
      <c r="BH84" s="54" t="n"/>
      <c r="BI84" s="54" t="n"/>
      <c r="BJ84" s="54" t="n"/>
      <c r="BK84" s="54" t="n"/>
      <c r="BL84" s="54" t="n"/>
      <c r="BM84" s="54" t="n"/>
      <c r="BN84" s="54" t="n"/>
      <c r="BO84" s="54" t="n"/>
      <c r="BP84" s="54" t="n"/>
      <c r="BQ84" s="54" t="n"/>
      <c r="BR84" s="54" t="n"/>
      <c r="BS84" s="54" t="n"/>
      <c r="BT84" s="54" t="n"/>
      <c r="BU84" s="54" t="n"/>
    </row>
    <row r="85">
      <c r="AU85" s="54" t="inlineStr">
        <is>
          <t>التنمية المستدامة</t>
        </is>
      </c>
      <c r="AV85" s="54" t="n"/>
      <c r="AW85" s="54" t="n"/>
      <c r="AX85" s="54" t="n"/>
      <c r="AY85" s="54" t="n"/>
      <c r="AZ85" s="54" t="n"/>
      <c r="BA85" s="54" t="n"/>
      <c r="BB85" s="54" t="n"/>
      <c r="BC85" s="54" t="n"/>
      <c r="BD85" s="54" t="n"/>
      <c r="BE85" s="54" t="n"/>
      <c r="BF85" s="54" t="n"/>
      <c r="BG85" s="54" t="n"/>
      <c r="BH85" s="54" t="n"/>
      <c r="BI85" s="54" t="n"/>
      <c r="BJ85" s="54" t="n"/>
      <c r="BK85" s="54" t="n"/>
      <c r="BL85" s="54" t="n"/>
      <c r="BM85" s="54" t="n"/>
      <c r="BN85" s="54" t="n"/>
      <c r="BO85" s="54" t="n"/>
      <c r="BP85" s="54" t="n"/>
      <c r="BQ85" s="54" t="n"/>
      <c r="BR85" s="54" t="n"/>
      <c r="BS85" s="54" t="n"/>
      <c r="BT85" s="54" t="n"/>
      <c r="BU85" s="54" t="n"/>
    </row>
    <row r="86">
      <c r="AU86" s="54" t="inlineStr">
        <is>
          <t>الحوكمة</t>
        </is>
      </c>
      <c r="AV86" s="54" t="inlineStr">
        <is>
          <t>الحوكمة</t>
        </is>
      </c>
      <c r="AW86" s="54" t="n"/>
      <c r="AX86" s="54" t="n"/>
      <c r="AY86" s="54" t="n"/>
      <c r="AZ86" s="54" t="n"/>
      <c r="BA86" s="54" t="n"/>
      <c r="BB86" s="54" t="n"/>
      <c r="BC86" s="54" t="n"/>
      <c r="BD86" s="54" t="n"/>
      <c r="BE86" s="54" t="n"/>
      <c r="BF86" s="54" t="n"/>
      <c r="BG86" s="54" t="n"/>
      <c r="BH86" s="54" t="n"/>
      <c r="BI86" s="54" t="n"/>
      <c r="BJ86" s="54" t="n"/>
      <c r="BK86" s="54" t="n"/>
      <c r="BL86" s="54" t="n"/>
      <c r="BM86" s="54" t="n"/>
      <c r="BN86" s="54" t="n"/>
      <c r="BO86" s="54" t="n"/>
      <c r="BP86" s="54" t="n"/>
      <c r="BQ86" s="54" t="n"/>
      <c r="BR86" s="54" t="n"/>
      <c r="BS86" s="54" t="n"/>
      <c r="BT86" s="54" t="n"/>
      <c r="BU86" s="54" t="n"/>
    </row>
    <row r="87">
      <c r="AU87" s="54" t="inlineStr">
        <is>
          <t>الحوكمة</t>
        </is>
      </c>
      <c r="AV87" s="54" t="inlineStr">
        <is>
          <t>التشريعات الحكومية</t>
        </is>
      </c>
      <c r="AW87" s="54" t="n"/>
      <c r="AX87" s="54" t="n"/>
      <c r="AY87" s="54" t="n"/>
      <c r="AZ87" s="54" t="n"/>
      <c r="BA87" s="54" t="n"/>
      <c r="BB87" s="54" t="n"/>
      <c r="BC87" s="54" t="n"/>
      <c r="BD87" s="54" t="n"/>
      <c r="BE87" s="54" t="n"/>
      <c r="BF87" s="54" t="n"/>
      <c r="BG87" s="54" t="n"/>
      <c r="BH87" s="54" t="n"/>
      <c r="BI87" s="54" t="n"/>
      <c r="BJ87" s="54" t="n"/>
      <c r="BK87" s="54" t="n"/>
      <c r="BL87" s="54" t="n"/>
      <c r="BM87" s="54" t="n"/>
      <c r="BN87" s="54" t="n"/>
      <c r="BO87" s="54" t="n"/>
      <c r="BP87" s="54" t="n"/>
      <c r="BQ87" s="54" t="n"/>
      <c r="BR87" s="54" t="n"/>
      <c r="BS87" s="54" t="n"/>
      <c r="BT87" s="54" t="n"/>
      <c r="BU87" s="54" t="n"/>
    </row>
    <row r="88">
      <c r="AU88" s="54" t="inlineStr">
        <is>
          <t>الحوكمة</t>
        </is>
      </c>
      <c r="AV88" s="54" t="inlineStr">
        <is>
          <t>التنفيذ والأداء</t>
        </is>
      </c>
      <c r="AW88" s="54" t="n"/>
      <c r="AX88" s="54" t="n"/>
      <c r="AY88" s="54" t="n"/>
      <c r="AZ88" s="54" t="n"/>
      <c r="BA88" s="54" t="n"/>
      <c r="BB88" s="54" t="n"/>
      <c r="BC88" s="54" t="n"/>
      <c r="BD88" s="54" t="n"/>
      <c r="BE88" s="54" t="n"/>
      <c r="BF88" s="54" t="n"/>
      <c r="BG88" s="54" t="n"/>
      <c r="BH88" s="54" t="n"/>
      <c r="BI88" s="54" t="n"/>
      <c r="BJ88" s="54" t="n"/>
      <c r="BK88" s="54" t="n"/>
      <c r="BL88" s="54" t="n"/>
      <c r="BM88" s="54" t="n"/>
      <c r="BN88" s="54" t="n"/>
      <c r="BO88" s="54" t="n"/>
      <c r="BP88" s="54" t="n"/>
      <c r="BQ88" s="54" t="n"/>
      <c r="BR88" s="54" t="n"/>
      <c r="BS88" s="54" t="n"/>
      <c r="BT88" s="54" t="n"/>
      <c r="BU88" s="54" t="n"/>
    </row>
    <row r="89">
      <c r="AU89" s="54" t="inlineStr">
        <is>
          <t>الحوكمة</t>
        </is>
      </c>
      <c r="AV89" s="54" t="n"/>
      <c r="AW89" s="54" t="n"/>
      <c r="AX89" s="54" t="n"/>
      <c r="AY89" s="54" t="n"/>
      <c r="AZ89" s="54" t="n"/>
      <c r="BA89" s="54" t="n"/>
      <c r="BB89" s="54" t="n"/>
      <c r="BC89" s="54" t="n"/>
      <c r="BD89" s="54" t="n"/>
      <c r="BE89" s="54" t="n"/>
      <c r="BF89" s="54" t="n"/>
      <c r="BG89" s="54" t="n"/>
      <c r="BH89" s="54" t="n"/>
      <c r="BI89" s="54" t="n"/>
      <c r="BJ89" s="54" t="n"/>
      <c r="BK89" s="54" t="n"/>
      <c r="BL89" s="54" t="n"/>
      <c r="BM89" s="54" t="n"/>
      <c r="BN89" s="54" t="n"/>
      <c r="BO89" s="54" t="n"/>
      <c r="BP89" s="54" t="n"/>
      <c r="BQ89" s="54" t="n"/>
      <c r="BR89" s="54" t="n"/>
      <c r="BS89" s="54" t="n"/>
      <c r="BT89" s="54" t="n"/>
      <c r="BU89" s="54" t="n"/>
    </row>
    <row r="90">
      <c r="AU90" s="54" t="inlineStr">
        <is>
          <t>الاتصال الحكومي وشؤون الأمانة العامة</t>
        </is>
      </c>
      <c r="AV90" s="54" t="n"/>
      <c r="AW90" s="54" t="n"/>
      <c r="AX90" s="54" t="n"/>
      <c r="AY90" s="54" t="n"/>
      <c r="AZ90" s="54" t="n"/>
      <c r="BA90" s="54" t="n"/>
      <c r="BB90" s="54" t="n"/>
      <c r="BC90" s="54" t="n"/>
      <c r="BD90" s="54" t="n"/>
      <c r="BE90" s="54" t="n"/>
      <c r="BF90" s="54" t="n"/>
      <c r="BG90" s="54" t="n"/>
      <c r="BH90" s="54" t="n"/>
      <c r="BI90" s="54" t="n"/>
      <c r="BJ90" s="54" t="n"/>
      <c r="BK90" s="54" t="n"/>
      <c r="BL90" s="54" t="n"/>
      <c r="BM90" s="54" t="n"/>
      <c r="BN90" s="54" t="n"/>
      <c r="BO90" s="54" t="n"/>
      <c r="BP90" s="54" t="n"/>
      <c r="BQ90" s="54" t="n"/>
      <c r="BR90" s="54" t="n"/>
      <c r="BS90" s="54" t="n"/>
      <c r="BT90" s="54" t="n"/>
      <c r="BU90" s="54" t="n"/>
    </row>
    <row r="91">
      <c r="AU91" s="54" t="inlineStr">
        <is>
          <t>الاتصال الحكومي وشؤون الأمانة العامة</t>
        </is>
      </c>
      <c r="AV91" s="54" t="inlineStr">
        <is>
          <t>الاتصال الحكومي</t>
        </is>
      </c>
      <c r="AW91" s="54" t="n"/>
      <c r="AX91" s="54" t="n"/>
      <c r="AY91" s="54" t="n"/>
      <c r="AZ91" s="54" t="n"/>
      <c r="BA91" s="54" t="n"/>
      <c r="BB91" s="54" t="n"/>
      <c r="BC91" s="54" t="n"/>
      <c r="BD91" s="54" t="n"/>
      <c r="BE91" s="54" t="n"/>
      <c r="BF91" s="54" t="n"/>
      <c r="BG91" s="54" t="n"/>
      <c r="BH91" s="54" t="n"/>
      <c r="BI91" s="54" t="n"/>
      <c r="BJ91" s="54" t="n"/>
      <c r="BK91" s="54" t="n"/>
      <c r="BL91" s="54" t="n"/>
      <c r="BM91" s="54" t="n"/>
      <c r="BN91" s="54" t="n"/>
      <c r="BO91" s="54" t="n"/>
      <c r="BP91" s="54" t="n"/>
      <c r="BQ91" s="54" t="n"/>
      <c r="BR91" s="54" t="n"/>
      <c r="BS91" s="54" t="n"/>
      <c r="BT91" s="54" t="n"/>
      <c r="BU91" s="54" t="n"/>
    </row>
    <row r="92">
      <c r="AU92" s="54" t="inlineStr">
        <is>
          <t>الاتصال الحكومي وشؤون الأمانة العامة</t>
        </is>
      </c>
      <c r="AV92" s="54" t="inlineStr">
        <is>
          <t>الخدمات المؤسسية</t>
        </is>
      </c>
      <c r="AW92" s="54" t="n"/>
      <c r="AX92" s="54" t="n"/>
      <c r="AY92" s="54" t="n"/>
      <c r="AZ92" s="54" t="n"/>
      <c r="BA92" s="54" t="n"/>
      <c r="BB92" s="54" t="n"/>
      <c r="BC92" s="54" t="n"/>
      <c r="BD92" s="54" t="n"/>
      <c r="BE92" s="54" t="n"/>
      <c r="BF92" s="54" t="n"/>
      <c r="BG92" s="54" t="n"/>
      <c r="BH92" s="54" t="n"/>
      <c r="BI92" s="54" t="n"/>
      <c r="BJ92" s="54" t="n"/>
      <c r="BK92" s="54" t="n"/>
      <c r="BL92" s="54" t="n"/>
      <c r="BM92" s="54" t="n"/>
      <c r="BN92" s="54" t="n"/>
      <c r="BO92" s="54" t="n"/>
      <c r="BP92" s="54" t="n"/>
      <c r="BQ92" s="54" t="n"/>
      <c r="BR92" s="54" t="n"/>
      <c r="BS92" s="54" t="n"/>
      <c r="BT92" s="54" t="n"/>
      <c r="BU92" s="54" t="n"/>
    </row>
    <row r="93">
      <c r="AU93" s="54" t="inlineStr">
        <is>
          <t>الاتصال الحكومي وشؤون الأمانة العامة</t>
        </is>
      </c>
      <c r="AV93" s="54" t="inlineStr">
        <is>
          <t>تميز الموارد البشرية</t>
        </is>
      </c>
      <c r="AW93" s="54" t="n"/>
      <c r="AX93" s="54" t="n"/>
      <c r="AY93" s="54" t="n"/>
      <c r="AZ93" s="54" t="n"/>
      <c r="BA93" s="54" t="n"/>
      <c r="BB93" s="54" t="n"/>
      <c r="BC93" s="54" t="n"/>
      <c r="BD93" s="54" t="n"/>
      <c r="BE93" s="54" t="n"/>
      <c r="BF93" s="54" t="n"/>
      <c r="BG93" s="54" t="n"/>
      <c r="BH93" s="54" t="n"/>
      <c r="BI93" s="54" t="n"/>
      <c r="BJ93" s="54" t="n"/>
      <c r="BK93" s="54" t="n"/>
      <c r="BL93" s="54" t="n"/>
      <c r="BM93" s="54" t="n"/>
      <c r="BN93" s="54" t="n"/>
      <c r="BO93" s="54" t="n"/>
      <c r="BP93" s="54" t="n"/>
      <c r="BQ93" s="54" t="n"/>
      <c r="BR93" s="54" t="n"/>
      <c r="BS93" s="54" t="n"/>
      <c r="BT93" s="54" t="n"/>
      <c r="BU93" s="54" t="n"/>
    </row>
    <row r="94">
      <c r="AU94" s="54" t="inlineStr">
        <is>
          <t>الاتصال الحكومي وشؤون الأمانة العامة</t>
        </is>
      </c>
      <c r="AV94" s="54" t="inlineStr">
        <is>
          <t>المالية والحسابات</t>
        </is>
      </c>
      <c r="AW94" s="54" t="n"/>
      <c r="AX94" s="54" t="n"/>
      <c r="AY94" s="54" t="n"/>
      <c r="AZ94" s="54" t="n"/>
      <c r="BA94" s="54" t="n"/>
      <c r="BB94" s="54" t="n"/>
      <c r="BC94" s="54" t="n"/>
      <c r="BD94" s="54" t="n"/>
      <c r="BE94" s="54" t="n"/>
      <c r="BF94" s="54" t="n"/>
      <c r="BG94" s="54" t="n"/>
      <c r="BH94" s="54" t="n"/>
      <c r="BI94" s="54" t="n"/>
      <c r="BJ94" s="54" t="n"/>
      <c r="BK94" s="54" t="n"/>
      <c r="BL94" s="54" t="n"/>
      <c r="BM94" s="54" t="n"/>
      <c r="BN94" s="54" t="n"/>
      <c r="BO94" s="54" t="n"/>
      <c r="BP94" s="54" t="n"/>
      <c r="BQ94" s="54" t="n"/>
      <c r="BR94" s="54" t="n"/>
      <c r="BS94" s="54" t="n"/>
      <c r="BT94" s="54" t="n"/>
      <c r="BU94" s="54" t="n"/>
    </row>
    <row r="95">
      <c r="AU95" s="54" t="inlineStr">
        <is>
          <t>الاتصال الحكومي وشؤون الأمانة العامة</t>
        </is>
      </c>
      <c r="AV95" s="54" t="inlineStr">
        <is>
          <t>المشتريات والشؤون الإدارية</t>
        </is>
      </c>
      <c r="AW95" s="54" t="n"/>
      <c r="AX95" s="54" t="n"/>
      <c r="AY95" s="54" t="n"/>
      <c r="AZ95" s="54" t="n"/>
      <c r="BA95" s="54" t="n"/>
      <c r="BB95" s="54" t="n"/>
      <c r="BC95" s="54" t="n"/>
      <c r="BD95" s="54" t="n"/>
      <c r="BE95" s="54" t="n"/>
      <c r="BF95" s="54" t="n"/>
      <c r="BG95" s="54" t="n"/>
      <c r="BH95" s="54" t="n"/>
      <c r="BI95" s="54" t="n"/>
      <c r="BJ95" s="54" t="n"/>
      <c r="BK95" s="54" t="n"/>
      <c r="BL95" s="54" t="n"/>
      <c r="BM95" s="54" t="n"/>
      <c r="BN95" s="54" t="n"/>
      <c r="BO95" s="54" t="n"/>
      <c r="BP95" s="54" t="n"/>
      <c r="BQ95" s="54" t="n"/>
      <c r="BR95" s="54" t="n"/>
      <c r="BS95" s="54" t="n"/>
      <c r="BT95" s="54" t="n"/>
      <c r="BU95" s="54" t="n"/>
    </row>
    <row r="96">
      <c r="AU96" s="54" t="inlineStr">
        <is>
          <t>الاتصال الحكومي وشؤون الأمانة العامة</t>
        </is>
      </c>
      <c r="AV96" s="54" t="inlineStr">
        <is>
          <t>تقنية المعلومات</t>
        </is>
      </c>
      <c r="AW96" s="54" t="n"/>
      <c r="AX96" s="54" t="n"/>
      <c r="AY96" s="54" t="n"/>
      <c r="AZ96" s="54" t="n"/>
      <c r="BA96" s="54" t="n"/>
      <c r="BB96" s="54" t="n"/>
      <c r="BC96" s="54" t="n"/>
      <c r="BD96" s="54" t="n"/>
      <c r="BE96" s="54" t="n"/>
      <c r="BF96" s="54" t="n"/>
      <c r="BG96" s="54" t="n"/>
      <c r="BH96" s="54" t="n"/>
      <c r="BI96" s="54" t="n"/>
      <c r="BJ96" s="54" t="n"/>
      <c r="BK96" s="54" t="n"/>
      <c r="BL96" s="54" t="n"/>
      <c r="BM96" s="54" t="n"/>
      <c r="BN96" s="54" t="n"/>
      <c r="BO96" s="54" t="n"/>
      <c r="BP96" s="54" t="n"/>
      <c r="BQ96" s="54" t="n"/>
      <c r="BR96" s="54" t="n"/>
      <c r="BS96" s="54" t="n"/>
      <c r="BT96" s="54" t="n"/>
      <c r="BU96" s="54" t="n"/>
    </row>
    <row r="97">
      <c r="AU97" s="54" t="inlineStr">
        <is>
          <t>الاتصال الحكومي وشؤون الأمانة العامة</t>
        </is>
      </c>
      <c r="AV97" s="54" t="inlineStr">
        <is>
          <t>المراسلات والأرشفة</t>
        </is>
      </c>
      <c r="AW97" s="54" t="n"/>
      <c r="AX97" s="54" t="n"/>
      <c r="AY97" s="54" t="n"/>
      <c r="AZ97" s="54" t="n"/>
      <c r="BA97" s="54" t="n"/>
      <c r="BB97" s="54" t="n"/>
      <c r="BC97" s="54" t="n"/>
      <c r="BD97" s="54" t="n"/>
      <c r="BE97" s="54" t="n"/>
      <c r="BF97" s="54" t="n"/>
      <c r="BG97" s="54" t="n"/>
      <c r="BH97" s="54" t="n"/>
      <c r="BI97" s="54" t="n"/>
      <c r="BJ97" s="54" t="n"/>
      <c r="BK97" s="54" t="n"/>
      <c r="BL97" s="54" t="n"/>
      <c r="BM97" s="54" t="n"/>
      <c r="BN97" s="54" t="n"/>
      <c r="BO97" s="54" t="n"/>
      <c r="BP97" s="54" t="n"/>
      <c r="BQ97" s="54" t="n"/>
      <c r="BR97" s="54" t="n"/>
      <c r="BS97" s="54" t="n"/>
      <c r="BT97" s="54" t="n"/>
      <c r="BU97" s="54" t="n"/>
    </row>
    <row r="98">
      <c r="AU98" s="54" t="inlineStr">
        <is>
          <t>الاتصال الحكومي وشؤون الأمانة العامة</t>
        </is>
      </c>
      <c r="AV98" s="54" t="inlineStr">
        <is>
          <t>تنفيذ ومتابعة المشاريع الميدانية</t>
        </is>
      </c>
      <c r="AW98" s="54" t="n"/>
      <c r="AX98" s="54" t="n"/>
      <c r="AY98" s="54" t="n"/>
      <c r="AZ98" s="54" t="n"/>
      <c r="BA98" s="54" t="n"/>
      <c r="BB98" s="54" t="n"/>
      <c r="BC98" s="54" t="n"/>
      <c r="BD98" s="54" t="n"/>
      <c r="BE98" s="54" t="n"/>
      <c r="BF98" s="54" t="n"/>
      <c r="BG98" s="54" t="n"/>
      <c r="BH98" s="54" t="n"/>
      <c r="BI98" s="54" t="n"/>
      <c r="BJ98" s="54" t="n"/>
      <c r="BK98" s="54" t="n"/>
      <c r="BL98" s="54" t="n"/>
      <c r="BM98" s="54" t="n"/>
      <c r="BN98" s="54" t="n"/>
      <c r="BO98" s="54" t="n"/>
      <c r="BP98" s="54" t="n"/>
      <c r="BQ98" s="54" t="n"/>
      <c r="BR98" s="54" t="n"/>
      <c r="BS98" s="54" t="n"/>
      <c r="BT98" s="54" t="n"/>
      <c r="BU98" s="54" t="n"/>
    </row>
    <row r="99">
      <c r="AU99" s="54" t="n"/>
      <c r="AV99" s="54" t="n"/>
      <c r="AW99" s="54" t="n"/>
      <c r="AX99" s="54" t="n"/>
      <c r="AY99" s="54" t="n"/>
      <c r="AZ99" s="54" t="n"/>
      <c r="BA99" s="54" t="n"/>
      <c r="BB99" s="54" t="n"/>
      <c r="BC99" s="54" t="n"/>
      <c r="BD99" s="54" t="n"/>
      <c r="BE99" s="54" t="n"/>
      <c r="BF99" s="54" t="n"/>
      <c r="BG99" s="54" t="n"/>
      <c r="BH99" s="54" t="n"/>
      <c r="BI99" s="54" t="n"/>
      <c r="BJ99" s="54" t="n"/>
      <c r="BK99" s="54" t="n"/>
      <c r="BL99" s="54" t="n"/>
      <c r="BM99" s="54" t="n"/>
      <c r="BN99" s="54" t="n"/>
      <c r="BO99" s="54" t="n"/>
      <c r="BP99" s="54" t="n"/>
      <c r="BQ99" s="54" t="n"/>
      <c r="BR99" s="54" t="n"/>
      <c r="BS99" s="54" t="n"/>
      <c r="BT99" s="54" t="n"/>
      <c r="BU99" s="54" t="n"/>
    </row>
    <row r="100">
      <c r="AU100" s="54" t="n"/>
      <c r="AV100" s="54" t="n"/>
      <c r="AW100" s="54" t="n"/>
      <c r="AX100" s="54" t="n"/>
      <c r="AY100" s="54" t="n"/>
      <c r="AZ100" s="54" t="n"/>
      <c r="BA100" s="54" t="n"/>
      <c r="BB100" s="54" t="n"/>
      <c r="BC100" s="54" t="n"/>
      <c r="BD100" s="54" t="n"/>
      <c r="BE100" s="54" t="n"/>
      <c r="BF100" s="54" t="n"/>
      <c r="BG100" s="54" t="n"/>
      <c r="BH100" s="54" t="n"/>
      <c r="BI100" s="54" t="n"/>
      <c r="BJ100" s="54" t="n"/>
      <c r="BK100" s="54" t="n"/>
      <c r="BL100" s="54" t="n"/>
      <c r="BM100" s="54" t="n"/>
      <c r="BN100" s="54" t="n"/>
      <c r="BO100" s="54" t="n"/>
      <c r="BP100" s="54" t="n"/>
      <c r="BQ100" s="54" t="n"/>
      <c r="BR100" s="54" t="n"/>
      <c r="BS100" s="54" t="n"/>
      <c r="BT100" s="54" t="n"/>
      <c r="BU100" s="54" t="n"/>
    </row>
    <row r="101">
      <c r="AU101" s="54" t="n"/>
      <c r="AV101" s="54" t="n"/>
      <c r="AW101" s="54" t="n"/>
      <c r="AX101" s="54" t="n"/>
      <c r="AY101" s="54" t="n"/>
      <c r="AZ101" s="54" t="n"/>
      <c r="BA101" s="54" t="n"/>
      <c r="BB101" s="54" t="n"/>
      <c r="BC101" s="54" t="n"/>
      <c r="BD101" s="54" t="n"/>
      <c r="BE101" s="54" t="n"/>
      <c r="BF101" s="54" t="n"/>
      <c r="BG101" s="54" t="n"/>
      <c r="BH101" s="54" t="n"/>
      <c r="BI101" s="54" t="n"/>
      <c r="BJ101" s="54" t="n"/>
      <c r="BK101" s="54" t="n"/>
      <c r="BL101" s="54" t="n"/>
      <c r="BM101" s="54" t="n"/>
      <c r="BN101" s="54" t="n"/>
      <c r="BO101" s="54" t="n"/>
      <c r="BP101" s="54" t="n"/>
      <c r="BQ101" s="54" t="n"/>
      <c r="BR101" s="54" t="n"/>
      <c r="BS101" s="54" t="n"/>
      <c r="BT101" s="54" t="n"/>
      <c r="BU101" s="54" t="n"/>
    </row>
    <row r="102">
      <c r="AU102" s="54" t="n"/>
      <c r="AV102" s="54" t="n"/>
      <c r="AW102" s="54" t="n"/>
      <c r="AX102" s="54" t="n"/>
      <c r="AY102" s="54" t="n"/>
      <c r="AZ102" s="54" t="n"/>
      <c r="BA102" s="54" t="n"/>
      <c r="BB102" s="54" t="n"/>
      <c r="BC102" s="54" t="n"/>
      <c r="BD102" s="54" t="n"/>
      <c r="BE102" s="54" t="n"/>
      <c r="BF102" s="54" t="n"/>
      <c r="BG102" s="54" t="n"/>
      <c r="BH102" s="54" t="n"/>
      <c r="BI102" s="54" t="n"/>
      <c r="BJ102" s="54" t="n"/>
      <c r="BK102" s="54" t="n"/>
      <c r="BL102" s="54" t="n"/>
      <c r="BM102" s="54" t="n"/>
      <c r="BN102" s="54" t="n"/>
      <c r="BO102" s="54" t="n"/>
      <c r="BP102" s="54" t="n"/>
      <c r="BQ102" s="54" t="n"/>
      <c r="BR102" s="54" t="n"/>
      <c r="BS102" s="54" t="n"/>
      <c r="BT102" s="54" t="n"/>
      <c r="BU102" s="54" t="n"/>
    </row>
    <row r="103">
      <c r="AU103" s="54" t="n"/>
      <c r="AV103" s="54" t="n"/>
      <c r="AW103" s="54" t="n"/>
      <c r="AX103" s="54" t="n"/>
      <c r="AY103" s="54" t="n"/>
      <c r="AZ103" s="54" t="n"/>
      <c r="BA103" s="54" t="n"/>
      <c r="BB103" s="54" t="n"/>
      <c r="BC103" s="54" t="n"/>
      <c r="BD103" s="54" t="n"/>
      <c r="BE103" s="54" t="n"/>
      <c r="BF103" s="54" t="n"/>
      <c r="BG103" s="54" t="n"/>
      <c r="BH103" s="54" t="n"/>
      <c r="BI103" s="54" t="n"/>
      <c r="BJ103" s="54" t="n"/>
      <c r="BK103" s="54" t="n"/>
      <c r="BL103" s="54" t="n"/>
      <c r="BM103" s="54" t="n"/>
      <c r="BN103" s="54" t="n"/>
      <c r="BO103" s="54" t="n"/>
      <c r="BP103" s="54" t="n"/>
      <c r="BQ103" s="54" t="n"/>
      <c r="BR103" s="54" t="n"/>
      <c r="BS103" s="54" t="n"/>
      <c r="BT103" s="54" t="n"/>
      <c r="BU103" s="54" t="n"/>
    </row>
    <row r="104">
      <c r="AU104" s="54" t="n"/>
      <c r="AV104" s="54" t="n"/>
      <c r="AW104" s="54" t="n"/>
      <c r="AX104" s="54" t="n"/>
      <c r="AY104" s="54" t="n"/>
      <c r="AZ104" s="54" t="n"/>
      <c r="BA104" s="54" t="n"/>
      <c r="BB104" s="54" t="n"/>
      <c r="BC104" s="54" t="n"/>
      <c r="BD104" s="54" t="n"/>
      <c r="BE104" s="54" t="n"/>
      <c r="BF104" s="54" t="n"/>
      <c r="BG104" s="54" t="n"/>
      <c r="BH104" s="54" t="n"/>
      <c r="BI104" s="54" t="n"/>
      <c r="BJ104" s="54" t="n"/>
      <c r="BK104" s="54" t="n"/>
      <c r="BL104" s="54" t="n"/>
      <c r="BM104" s="54" t="n"/>
      <c r="BN104" s="54" t="n"/>
      <c r="BO104" s="54" t="n"/>
      <c r="BP104" s="54" t="n"/>
      <c r="BQ104" s="54" t="n"/>
      <c r="BR104" s="54" t="n"/>
      <c r="BS104" s="54" t="n"/>
      <c r="BT104" s="54" t="n"/>
      <c r="BU104" s="54" t="n"/>
    </row>
    <row r="105">
      <c r="AU105" s="54" t="n"/>
      <c r="AV105" s="54" t="n"/>
      <c r="AW105" s="54" t="n"/>
      <c r="AX105" s="54" t="n"/>
      <c r="AY105" s="54" t="n"/>
      <c r="AZ105" s="54" t="n"/>
      <c r="BA105" s="54" t="n"/>
      <c r="BB105" s="54" t="n"/>
      <c r="BC105" s="54" t="n"/>
      <c r="BD105" s="54" t="n"/>
      <c r="BE105" s="54" t="n"/>
      <c r="BF105" s="54" t="n"/>
      <c r="BG105" s="54" t="n"/>
      <c r="BH105" s="54" t="n"/>
      <c r="BI105" s="54" t="n"/>
      <c r="BJ105" s="54" t="n"/>
      <c r="BK105" s="54" t="n"/>
      <c r="BL105" s="54" t="n"/>
      <c r="BM105" s="54" t="n"/>
      <c r="BN105" s="54" t="n"/>
      <c r="BO105" s="54" t="n"/>
      <c r="BP105" s="54" t="n"/>
      <c r="BQ105" s="54" t="n"/>
      <c r="BR105" s="54" t="n"/>
      <c r="BS105" s="54" t="n"/>
      <c r="BT105" s="54" t="n"/>
      <c r="BU105" s="54" t="n"/>
    </row>
    <row r="106">
      <c r="AU106" s="54" t="n"/>
      <c r="AV106" s="54" t="n"/>
      <c r="AW106" s="54" t="n"/>
      <c r="AX106" s="54" t="n"/>
      <c r="AY106" s="54" t="n"/>
      <c r="AZ106" s="54" t="n"/>
      <c r="BA106" s="54" t="n"/>
      <c r="BB106" s="54" t="n"/>
      <c r="BC106" s="54" t="n"/>
      <c r="BD106" s="54" t="n"/>
      <c r="BE106" s="54" t="n"/>
      <c r="BF106" s="54" t="n"/>
      <c r="BG106" s="54" t="n"/>
      <c r="BH106" s="54" t="n"/>
      <c r="BI106" s="54" t="n"/>
      <c r="BJ106" s="54" t="n"/>
      <c r="BK106" s="54" t="n"/>
      <c r="BL106" s="54" t="n"/>
      <c r="BM106" s="54" t="n"/>
      <c r="BN106" s="54" t="n"/>
      <c r="BO106" s="54" t="n"/>
      <c r="BP106" s="54" t="n"/>
      <c r="BQ106" s="54" t="n"/>
      <c r="BR106" s="54" t="n"/>
      <c r="BS106" s="54" t="n"/>
      <c r="BT106" s="54" t="n"/>
      <c r="BU106" s="54" t="n"/>
    </row>
    <row r="107">
      <c r="AU107" s="54" t="n"/>
      <c r="AV107" s="54" t="n"/>
      <c r="AW107" s="54" t="n"/>
      <c r="AX107" s="54" t="n"/>
      <c r="AY107" s="54" t="n"/>
      <c r="AZ107" s="54" t="n"/>
      <c r="BA107" s="54" t="n"/>
      <c r="BB107" s="54" t="n"/>
      <c r="BC107" s="54" t="n"/>
      <c r="BD107" s="54" t="n"/>
      <c r="BE107" s="54" t="n"/>
      <c r="BF107" s="54" t="n"/>
      <c r="BG107" s="54" t="n"/>
      <c r="BH107" s="54" t="n"/>
      <c r="BI107" s="54" t="n"/>
      <c r="BJ107" s="54" t="n"/>
      <c r="BK107" s="54" t="n"/>
      <c r="BL107" s="54" t="n"/>
      <c r="BM107" s="54" t="n"/>
      <c r="BN107" s="54" t="n"/>
      <c r="BO107" s="54" t="n"/>
      <c r="BP107" s="54" t="n"/>
      <c r="BQ107" s="54" t="n"/>
      <c r="BR107" s="54" t="n"/>
      <c r="BS107" s="54" t="n"/>
      <c r="BT107" s="54" t="n"/>
      <c r="BU107" s="54" t="n"/>
    </row>
    <row r="108">
      <c r="AU108" s="54" t="n"/>
      <c r="AV108" s="54" t="n"/>
      <c r="AW108" s="54" t="n"/>
      <c r="AX108" s="54" t="n"/>
      <c r="AY108" s="54" t="n"/>
      <c r="AZ108" s="54" t="n"/>
      <c r="BA108" s="54" t="n"/>
      <c r="BB108" s="54" t="n"/>
      <c r="BC108" s="54" t="n"/>
      <c r="BD108" s="54" t="n"/>
      <c r="BE108" s="54" t="n"/>
      <c r="BF108" s="54" t="n"/>
      <c r="BG108" s="54" t="n"/>
      <c r="BH108" s="54" t="n"/>
      <c r="BI108" s="54" t="n"/>
      <c r="BJ108" s="54" t="n"/>
      <c r="BK108" s="54" t="n"/>
      <c r="BL108" s="54" t="n"/>
      <c r="BM108" s="54" t="n"/>
      <c r="BN108" s="54" t="n"/>
      <c r="BO108" s="54" t="n"/>
      <c r="BP108" s="54" t="n"/>
      <c r="BQ108" s="54" t="n"/>
      <c r="BR108" s="54" t="n"/>
      <c r="BS108" s="54" t="n"/>
      <c r="BT108" s="54" t="n"/>
      <c r="BU108" s="54" t="n"/>
    </row>
    <row r="109">
      <c r="AU109" s="54" t="n"/>
      <c r="AV109" s="54" t="n"/>
      <c r="AW109" s="54" t="n"/>
      <c r="AX109" s="54" t="n"/>
      <c r="AY109" s="54" t="n"/>
      <c r="AZ109" s="54" t="n"/>
      <c r="BA109" s="54" t="n"/>
      <c r="BB109" s="54" t="n"/>
      <c r="BC109" s="54" t="n"/>
      <c r="BD109" s="54" t="n"/>
      <c r="BE109" s="54" t="n"/>
      <c r="BF109" s="54" t="n"/>
      <c r="BG109" s="54" t="n"/>
      <c r="BH109" s="54" t="n"/>
      <c r="BI109" s="54" t="n"/>
      <c r="BJ109" s="54" t="n"/>
      <c r="BK109" s="54" t="n"/>
      <c r="BL109" s="54" t="n"/>
      <c r="BM109" s="54" t="n"/>
      <c r="BN109" s="54" t="n"/>
      <c r="BO109" s="54" t="n"/>
      <c r="BP109" s="54" t="n"/>
      <c r="BQ109" s="54" t="n"/>
      <c r="BR109" s="54" t="n"/>
      <c r="BS109" s="54" t="n"/>
      <c r="BT109" s="54" t="n"/>
      <c r="BU109" s="54" t="n"/>
    </row>
    <row r="110">
      <c r="AU110" s="54" t="n"/>
      <c r="AV110" s="54" t="n"/>
      <c r="AW110" s="54" t="n"/>
      <c r="AX110" s="54" t="n"/>
      <c r="AY110" s="54" t="n"/>
      <c r="AZ110" s="54" t="n"/>
      <c r="BA110" s="54" t="n"/>
      <c r="BB110" s="54" t="n"/>
      <c r="BC110" s="54" t="n"/>
      <c r="BD110" s="54" t="n"/>
      <c r="BE110" s="54" t="n"/>
      <c r="BF110" s="54" t="n"/>
      <c r="BG110" s="54" t="n"/>
      <c r="BH110" s="54" t="n"/>
      <c r="BI110" s="54" t="n"/>
      <c r="BJ110" s="54" t="n"/>
      <c r="BK110" s="54" t="n"/>
      <c r="BL110" s="54" t="n"/>
      <c r="BM110" s="54" t="n"/>
      <c r="BN110" s="54" t="n"/>
      <c r="BO110" s="54" t="n"/>
      <c r="BP110" s="54" t="n"/>
      <c r="BQ110" s="54" t="n"/>
      <c r="BR110" s="54" t="n"/>
      <c r="BS110" s="54" t="n"/>
      <c r="BT110" s="54" t="n"/>
      <c r="BU110" s="54" t="n"/>
    </row>
    <row r="111">
      <c r="AU111" s="54" t="n"/>
      <c r="AV111" s="54" t="n"/>
      <c r="AW111" s="54" t="n"/>
      <c r="AX111" s="54" t="n"/>
      <c r="AY111" s="54" t="n"/>
      <c r="AZ111" s="54" t="n"/>
      <c r="BA111" s="54" t="n"/>
      <c r="BB111" s="54" t="n"/>
      <c r="BC111" s="54" t="n"/>
      <c r="BD111" s="54" t="n"/>
      <c r="BE111" s="54" t="n"/>
      <c r="BF111" s="54" t="n"/>
      <c r="BG111" s="54" t="n"/>
      <c r="BH111" s="54" t="n"/>
      <c r="BI111" s="54" t="n"/>
      <c r="BJ111" s="54" t="n"/>
      <c r="BK111" s="54" t="n"/>
      <c r="BL111" s="54" t="n"/>
      <c r="BM111" s="54" t="n"/>
      <c r="BN111" s="54" t="n"/>
      <c r="BO111" s="54" t="n"/>
      <c r="BP111" s="54" t="n"/>
      <c r="BQ111" s="54" t="n"/>
      <c r="BR111" s="54" t="n"/>
      <c r="BS111" s="54" t="n"/>
      <c r="BT111" s="54" t="n"/>
      <c r="BU111" s="54" t="n"/>
    </row>
    <row r="112">
      <c r="AU112" s="54" t="n"/>
      <c r="AV112" s="54" t="n"/>
      <c r="AW112" s="54" t="n"/>
      <c r="AX112" s="54" t="n"/>
      <c r="AY112" s="54" t="n"/>
      <c r="AZ112" s="54" t="n"/>
      <c r="BA112" s="54" t="n"/>
      <c r="BB112" s="54" t="n"/>
      <c r="BC112" s="54" t="n"/>
      <c r="BD112" s="54" t="n"/>
      <c r="BE112" s="54" t="n"/>
      <c r="BF112" s="54" t="n"/>
      <c r="BG112" s="54" t="n"/>
      <c r="BH112" s="54" t="n"/>
      <c r="BI112" s="54" t="n"/>
      <c r="BJ112" s="54" t="n"/>
      <c r="BK112" s="54" t="n"/>
      <c r="BL112" s="54" t="n"/>
      <c r="BM112" s="54" t="n"/>
      <c r="BN112" s="54" t="n"/>
      <c r="BO112" s="54" t="n"/>
      <c r="BP112" s="54" t="n"/>
      <c r="BQ112" s="54" t="n"/>
      <c r="BR112" s="54" t="n"/>
      <c r="BS112" s="54" t="n"/>
      <c r="BT112" s="54" t="n"/>
      <c r="BU112" s="54" t="n"/>
    </row>
    <row r="113">
      <c r="AU113" s="54" t="n"/>
      <c r="AV113" s="54" t="n"/>
      <c r="AW113" s="54" t="n"/>
      <c r="AX113" s="54" t="n"/>
      <c r="AY113" s="54" t="n"/>
      <c r="AZ113" s="54" t="n"/>
      <c r="BA113" s="54" t="n"/>
      <c r="BB113" s="54" t="n"/>
      <c r="BC113" s="54" t="n"/>
      <c r="BD113" s="54" t="n"/>
      <c r="BE113" s="54" t="n"/>
      <c r="BF113" s="54" t="n"/>
      <c r="BG113" s="54" t="n"/>
      <c r="BH113" s="54" t="n"/>
      <c r="BI113" s="54" t="n"/>
      <c r="BJ113" s="54" t="n"/>
      <c r="BK113" s="54" t="n"/>
      <c r="BL113" s="54" t="n"/>
      <c r="BM113" s="54" t="n"/>
      <c r="BN113" s="54" t="n"/>
      <c r="BO113" s="54" t="n"/>
      <c r="BP113" s="54" t="n"/>
      <c r="BQ113" s="54" t="n"/>
      <c r="BR113" s="54" t="n"/>
      <c r="BS113" s="54" t="n"/>
      <c r="BT113" s="54" t="n"/>
      <c r="BU113" s="54" t="n"/>
    </row>
    <row r="114">
      <c r="AU114" s="54" t="n"/>
      <c r="AV114" s="54" t="n"/>
      <c r="AW114" s="54" t="n"/>
      <c r="AX114" s="54" t="n"/>
      <c r="AY114" s="54" t="n"/>
      <c r="AZ114" s="54" t="n"/>
      <c r="BA114" s="54" t="n"/>
      <c r="BB114" s="54" t="n"/>
      <c r="BC114" s="54" t="n"/>
      <c r="BD114" s="54" t="n"/>
      <c r="BE114" s="54" t="n"/>
      <c r="BF114" s="54" t="n"/>
      <c r="BG114" s="54" t="n"/>
      <c r="BH114" s="54" t="n"/>
      <c r="BI114" s="54" t="n"/>
      <c r="BJ114" s="54" t="n"/>
      <c r="BK114" s="54" t="n"/>
      <c r="BL114" s="54" t="n"/>
      <c r="BM114" s="54" t="n"/>
      <c r="BN114" s="54" t="n"/>
      <c r="BO114" s="54" t="n"/>
      <c r="BP114" s="54" t="n"/>
      <c r="BQ114" s="54" t="n"/>
      <c r="BR114" s="54" t="n"/>
      <c r="BS114" s="54" t="n"/>
      <c r="BT114" s="54" t="n"/>
      <c r="BU114" s="54" t="n"/>
    </row>
    <row r="115">
      <c r="AU115" s="54" t="n"/>
      <c r="AV115" s="54" t="n"/>
      <c r="AW115" s="54" t="n"/>
      <c r="AX115" s="54" t="n"/>
      <c r="AY115" s="54" t="n"/>
      <c r="AZ115" s="54" t="n"/>
      <c r="BA115" s="54" t="n"/>
      <c r="BB115" s="54" t="n"/>
      <c r="BC115" s="54" t="n"/>
      <c r="BD115" s="54" t="n"/>
      <c r="BE115" s="54" t="n"/>
      <c r="BF115" s="54" t="n"/>
      <c r="BG115" s="54" t="n"/>
      <c r="BH115" s="54" t="n"/>
      <c r="BI115" s="54" t="n"/>
      <c r="BJ115" s="54" t="n"/>
      <c r="BK115" s="54" t="n"/>
      <c r="BL115" s="54" t="n"/>
      <c r="BM115" s="54" t="n"/>
      <c r="BN115" s="54" t="n"/>
      <c r="BO115" s="54" t="n"/>
      <c r="BP115" s="54" t="n"/>
      <c r="BQ115" s="54" t="n"/>
      <c r="BR115" s="54" t="n"/>
      <c r="BS115" s="54" t="n"/>
      <c r="BT115" s="54" t="n"/>
      <c r="BU115" s="54" t="n"/>
    </row>
    <row r="116">
      <c r="AU116" s="54" t="n"/>
      <c r="AV116" s="54" t="n"/>
      <c r="AW116" s="54" t="n"/>
      <c r="AX116" s="54" t="n"/>
      <c r="AY116" s="54" t="n"/>
      <c r="AZ116" s="54" t="n"/>
      <c r="BA116" s="54" t="n"/>
      <c r="BB116" s="54" t="n"/>
      <c r="BC116" s="54" t="n"/>
      <c r="BD116" s="54" t="n"/>
      <c r="BE116" s="54" t="n"/>
      <c r="BF116" s="54" t="n"/>
      <c r="BG116" s="54" t="n"/>
      <c r="BH116" s="54" t="n"/>
      <c r="BI116" s="54" t="n"/>
      <c r="BJ116" s="54" t="n"/>
      <c r="BK116" s="54" t="n"/>
      <c r="BL116" s="54" t="n"/>
      <c r="BM116" s="54" t="n"/>
      <c r="BN116" s="54" t="n"/>
      <c r="BO116" s="54" t="n"/>
      <c r="BP116" s="54" t="n"/>
      <c r="BQ116" s="54" t="n"/>
      <c r="BR116" s="54" t="n"/>
      <c r="BS116" s="54" t="n"/>
      <c r="BT116" s="54" t="n"/>
      <c r="BU116" s="54" t="n"/>
    </row>
    <row r="117">
      <c r="AU117" s="54" t="n"/>
      <c r="AV117" s="54" t="n"/>
      <c r="AW117" s="54" t="n"/>
      <c r="AX117" s="54" t="n"/>
      <c r="AY117" s="54" t="n"/>
      <c r="AZ117" s="54" t="n"/>
      <c r="BA117" s="54" t="n"/>
      <c r="BB117" s="54" t="n"/>
      <c r="BC117" s="54" t="n"/>
      <c r="BD117" s="54" t="n"/>
      <c r="BE117" s="54" t="n"/>
      <c r="BF117" s="54" t="n"/>
      <c r="BG117" s="54" t="n"/>
      <c r="BH117" s="54" t="n"/>
      <c r="BI117" s="54" t="n"/>
      <c r="BJ117" s="54" t="n"/>
      <c r="BK117" s="54" t="n"/>
      <c r="BL117" s="54" t="n"/>
      <c r="BM117" s="54" t="n"/>
      <c r="BN117" s="54" t="n"/>
      <c r="BO117" s="54" t="n"/>
      <c r="BP117" s="54" t="n"/>
      <c r="BQ117" s="54" t="n"/>
      <c r="BR117" s="54" t="n"/>
      <c r="BS117" s="54" t="n"/>
      <c r="BT117" s="54" t="n"/>
      <c r="BU117" s="54" t="n"/>
    </row>
    <row r="118">
      <c r="AU118" s="54" t="n"/>
      <c r="AV118" s="54" t="n"/>
      <c r="AW118" s="54" t="n"/>
      <c r="AX118" s="54" t="n"/>
      <c r="AY118" s="54" t="n"/>
      <c r="AZ118" s="54" t="n"/>
      <c r="BA118" s="54" t="n"/>
      <c r="BB118" s="54" t="n"/>
      <c r="BC118" s="54" t="n"/>
      <c r="BD118" s="54" t="n"/>
      <c r="BE118" s="54" t="n"/>
      <c r="BF118" s="54" t="n"/>
      <c r="BG118" s="54" t="n"/>
      <c r="BH118" s="54" t="n"/>
      <c r="BI118" s="54" t="n"/>
      <c r="BJ118" s="54" t="n"/>
      <c r="BK118" s="54" t="n"/>
      <c r="BL118" s="54" t="n"/>
      <c r="BM118" s="54" t="n"/>
      <c r="BN118" s="54" t="n"/>
      <c r="BO118" s="54" t="n"/>
      <c r="BP118" s="54" t="n"/>
      <c r="BQ118" s="54" t="n"/>
      <c r="BR118" s="54" t="n"/>
      <c r="BS118" s="54" t="n"/>
      <c r="BT118" s="54" t="n"/>
      <c r="BU118" s="54" t="n"/>
    </row>
    <row r="119">
      <c r="AU119" s="54" t="n"/>
      <c r="AV119" s="54" t="n"/>
      <c r="AW119" s="54" t="n"/>
      <c r="AX119" s="54" t="n"/>
      <c r="AY119" s="54" t="n"/>
      <c r="AZ119" s="54" t="n"/>
      <c r="BA119" s="54" t="n"/>
      <c r="BB119" s="54" t="n"/>
      <c r="BC119" s="54" t="n"/>
      <c r="BD119" s="54" t="n"/>
      <c r="BE119" s="54" t="n"/>
      <c r="BF119" s="54" t="n"/>
      <c r="BG119" s="54" t="n"/>
      <c r="BH119" s="54" t="n"/>
      <c r="BI119" s="54" t="n"/>
      <c r="BJ119" s="54" t="n"/>
      <c r="BK119" s="54" t="n"/>
      <c r="BL119" s="54" t="n"/>
      <c r="BM119" s="54" t="n"/>
      <c r="BN119" s="54" t="n"/>
      <c r="BO119" s="54" t="n"/>
      <c r="BP119" s="54" t="n"/>
      <c r="BQ119" s="54" t="n"/>
      <c r="BR119" s="54" t="n"/>
      <c r="BS119" s="54" t="n"/>
      <c r="BT119" s="54" t="n"/>
      <c r="BU119" s="54" t="n"/>
    </row>
    <row r="120">
      <c r="AU120" s="54" t="n"/>
      <c r="AV120" s="54" t="n"/>
      <c r="AW120" s="54" t="n"/>
      <c r="AX120" s="54" t="n"/>
      <c r="AY120" s="54" t="n"/>
      <c r="AZ120" s="54" t="n"/>
      <c r="BA120" s="54" t="n"/>
      <c r="BB120" s="54" t="n"/>
      <c r="BC120" s="54" t="n"/>
      <c r="BD120" s="54" t="n"/>
      <c r="BE120" s="54" t="n"/>
      <c r="BF120" s="54" t="n"/>
      <c r="BG120" s="54" t="n"/>
      <c r="BH120" s="54" t="n"/>
      <c r="BI120" s="54" t="n"/>
      <c r="BJ120" s="54" t="n"/>
      <c r="BK120" s="54" t="n"/>
      <c r="BL120" s="54" t="n"/>
      <c r="BM120" s="54" t="n"/>
      <c r="BN120" s="54" t="n"/>
      <c r="BO120" s="54" t="n"/>
      <c r="BP120" s="54" t="n"/>
      <c r="BQ120" s="54" t="n"/>
      <c r="BR120" s="54" t="n"/>
      <c r="BS120" s="54" t="n"/>
      <c r="BT120" s="54" t="n"/>
      <c r="BU120" s="54" t="n"/>
    </row>
    <row r="121">
      <c r="AU121" s="54" t="n"/>
      <c r="AV121" s="54" t="n"/>
      <c r="AW121" s="54" t="n"/>
      <c r="AX121" s="54" t="n"/>
      <c r="AY121" s="54" t="n"/>
      <c r="AZ121" s="54" t="n"/>
      <c r="BA121" s="54" t="n"/>
      <c r="BB121" s="54" t="n"/>
      <c r="BC121" s="54" t="n"/>
      <c r="BD121" s="54" t="n"/>
      <c r="BE121" s="54" t="n"/>
      <c r="BF121" s="54" t="n"/>
      <c r="BG121" s="54" t="n"/>
      <c r="BH121" s="54" t="n"/>
      <c r="BI121" s="54" t="n"/>
      <c r="BJ121" s="54" t="n"/>
      <c r="BK121" s="54" t="n"/>
      <c r="BL121" s="54" t="n"/>
      <c r="BM121" s="54" t="n"/>
      <c r="BN121" s="54" t="n"/>
      <c r="BO121" s="54" t="n"/>
      <c r="BP121" s="54" t="n"/>
      <c r="BQ121" s="54" t="n"/>
      <c r="BR121" s="54" t="n"/>
      <c r="BS121" s="54" t="n"/>
      <c r="BT121" s="54" t="n"/>
      <c r="BU121" s="54" t="n"/>
    </row>
    <row r="122">
      <c r="AU122" s="54" t="n"/>
      <c r="AV122" s="54" t="n"/>
      <c r="AW122" s="54" t="n"/>
      <c r="AX122" s="54" t="n"/>
      <c r="AY122" s="54" t="n"/>
      <c r="AZ122" s="54" t="n"/>
      <c r="BA122" s="54" t="n"/>
      <c r="BB122" s="54" t="n"/>
      <c r="BC122" s="54" t="n"/>
      <c r="BD122" s="54" t="n"/>
      <c r="BE122" s="54" t="n"/>
      <c r="BF122" s="54" t="n"/>
      <c r="BG122" s="54" t="n"/>
      <c r="BH122" s="54" t="n"/>
      <c r="BI122" s="54" t="n"/>
      <c r="BJ122" s="54" t="n"/>
      <c r="BK122" s="54" t="n"/>
      <c r="BL122" s="54" t="n"/>
      <c r="BM122" s="54" t="n"/>
      <c r="BN122" s="54" t="n"/>
      <c r="BO122" s="54" t="n"/>
      <c r="BP122" s="54" t="n"/>
      <c r="BQ122" s="54" t="n"/>
      <c r="BR122" s="54" t="n"/>
      <c r="BS122" s="54" t="n"/>
      <c r="BT122" s="54" t="n"/>
      <c r="BU122" s="54" t="n"/>
    </row>
    <row r="123">
      <c r="AU123" s="54" t="n"/>
      <c r="AV123" s="54" t="n"/>
      <c r="AW123" s="54" t="n"/>
      <c r="AX123" s="54" t="n"/>
      <c r="AY123" s="54" t="n"/>
      <c r="AZ123" s="54" t="n"/>
      <c r="BA123" s="54" t="n"/>
      <c r="BB123" s="54" t="n"/>
      <c r="BC123" s="54" t="n"/>
      <c r="BD123" s="54" t="n"/>
      <c r="BE123" s="54" t="n"/>
      <c r="BF123" s="54" t="n"/>
      <c r="BG123" s="54" t="n"/>
      <c r="BH123" s="54" t="n"/>
      <c r="BI123" s="54" t="n"/>
      <c r="BJ123" s="54" t="n"/>
      <c r="BK123" s="54" t="n"/>
      <c r="BL123" s="54" t="n"/>
      <c r="BM123" s="54" t="n"/>
      <c r="BN123" s="54" t="n"/>
      <c r="BO123" s="54" t="n"/>
      <c r="BP123" s="54" t="n"/>
      <c r="BQ123" s="54" t="n"/>
      <c r="BR123" s="54" t="n"/>
      <c r="BS123" s="54" t="n"/>
      <c r="BT123" s="54" t="n"/>
      <c r="BU123" s="54" t="n"/>
    </row>
    <row r="124">
      <c r="AU124" s="54" t="n"/>
      <c r="AV124" s="54" t="n"/>
      <c r="AW124" s="54" t="n"/>
      <c r="AX124" s="54" t="n"/>
      <c r="AY124" s="54" t="n"/>
      <c r="AZ124" s="54" t="n"/>
      <c r="BA124" s="54" t="n"/>
      <c r="BB124" s="54" t="n"/>
      <c r="BC124" s="54" t="n"/>
      <c r="BD124" s="54" t="n"/>
      <c r="BE124" s="54" t="n"/>
      <c r="BF124" s="54" t="n"/>
      <c r="BG124" s="54" t="n"/>
      <c r="BH124" s="54" t="n"/>
      <c r="BI124" s="54" t="n"/>
      <c r="BJ124" s="54" t="n"/>
      <c r="BK124" s="54" t="n"/>
      <c r="BL124" s="54" t="n"/>
      <c r="BM124" s="54" t="n"/>
      <c r="BN124" s="54" t="n"/>
      <c r="BO124" s="54" t="n"/>
      <c r="BP124" s="54" t="n"/>
      <c r="BQ124" s="54" t="n"/>
      <c r="BR124" s="54" t="n"/>
      <c r="BS124" s="54" t="n"/>
      <c r="BT124" s="54" t="n"/>
      <c r="BU124" s="54" t="n"/>
    </row>
    <row r="125">
      <c r="AU125" s="54" t="n"/>
      <c r="AV125" s="54" t="n"/>
      <c r="AW125" s="54" t="n"/>
      <c r="AX125" s="54" t="n"/>
      <c r="AY125" s="54" t="n"/>
      <c r="AZ125" s="54" t="n"/>
      <c r="BA125" s="54" t="n"/>
      <c r="BB125" s="54" t="n"/>
      <c r="BC125" s="54" t="n"/>
      <c r="BD125" s="54" t="n"/>
      <c r="BE125" s="54" t="n"/>
      <c r="BF125" s="54" t="n"/>
      <c r="BG125" s="54" t="n"/>
      <c r="BH125" s="54" t="n"/>
      <c r="BI125" s="54" t="n"/>
      <c r="BJ125" s="54" t="n"/>
      <c r="BK125" s="54" t="n"/>
      <c r="BL125" s="54" t="n"/>
      <c r="BM125" s="54" t="n"/>
      <c r="BN125" s="54" t="n"/>
      <c r="BO125" s="54" t="n"/>
      <c r="BP125" s="54" t="n"/>
      <c r="BQ125" s="54" t="n"/>
      <c r="BR125" s="54" t="n"/>
      <c r="BS125" s="54" t="n"/>
      <c r="BT125" s="54" t="n"/>
      <c r="BU125" s="54" t="n"/>
    </row>
    <row r="126">
      <c r="AU126" s="54" t="n"/>
      <c r="AV126" s="54" t="n"/>
      <c r="AW126" s="54" t="n"/>
      <c r="AX126" s="54" t="n"/>
      <c r="AY126" s="54" t="n"/>
      <c r="AZ126" s="54" t="n"/>
      <c r="BA126" s="54" t="n"/>
      <c r="BB126" s="54" t="n"/>
      <c r="BC126" s="54" t="n"/>
      <c r="BD126" s="54" t="n"/>
      <c r="BE126" s="54" t="n"/>
      <c r="BF126" s="54" t="n"/>
      <c r="BG126" s="54" t="n"/>
      <c r="BH126" s="54" t="n"/>
      <c r="BI126" s="54" t="n"/>
      <c r="BJ126" s="54" t="n"/>
      <c r="BK126" s="54" t="n"/>
      <c r="BL126" s="54" t="n"/>
      <c r="BM126" s="54" t="n"/>
      <c r="BN126" s="54" t="n"/>
      <c r="BO126" s="54" t="n"/>
      <c r="BP126" s="54" t="n"/>
      <c r="BQ126" s="54" t="n"/>
      <c r="BR126" s="54" t="n"/>
      <c r="BS126" s="54" t="n"/>
      <c r="BT126" s="54" t="n"/>
      <c r="BU126" s="54" t="n"/>
    </row>
    <row r="127">
      <c r="AU127" s="54" t="n"/>
      <c r="AV127" s="54" t="n"/>
      <c r="AW127" s="54" t="n"/>
      <c r="AX127" s="54" t="n"/>
      <c r="AY127" s="54" t="n"/>
      <c r="AZ127" s="54" t="n"/>
      <c r="BA127" s="54" t="n"/>
      <c r="BB127" s="54" t="n"/>
      <c r="BC127" s="54" t="n"/>
      <c r="BD127" s="54" t="n"/>
      <c r="BE127" s="54" t="n"/>
      <c r="BF127" s="54" t="n"/>
      <c r="BG127" s="54" t="n"/>
      <c r="BH127" s="54" t="n"/>
      <c r="BI127" s="54" t="n"/>
      <c r="BJ127" s="54" t="n"/>
      <c r="BK127" s="54" t="n"/>
      <c r="BL127" s="54" t="n"/>
      <c r="BM127" s="54" t="n"/>
      <c r="BN127" s="54" t="n"/>
      <c r="BO127" s="54" t="n"/>
      <c r="BP127" s="54" t="n"/>
      <c r="BQ127" s="54" t="n"/>
      <c r="BR127" s="54" t="n"/>
      <c r="BS127" s="54" t="n"/>
      <c r="BT127" s="54" t="n"/>
      <c r="BU127" s="54" t="n"/>
    </row>
    <row r="128">
      <c r="AU128" s="54" t="n"/>
      <c r="AV128" s="54" t="n"/>
      <c r="AW128" s="54" t="n"/>
      <c r="AX128" s="54" t="n"/>
      <c r="AY128" s="54" t="n"/>
      <c r="AZ128" s="54" t="n"/>
      <c r="BA128" s="54" t="n"/>
      <c r="BB128" s="54" t="n"/>
      <c r="BC128" s="54" t="n"/>
      <c r="BD128" s="54" t="n"/>
      <c r="BE128" s="54" t="n"/>
      <c r="BF128" s="54" t="n"/>
      <c r="BG128" s="54" t="n"/>
      <c r="BH128" s="54" t="n"/>
      <c r="BI128" s="54" t="n"/>
      <c r="BJ128" s="54" t="n"/>
      <c r="BK128" s="54" t="n"/>
      <c r="BL128" s="54" t="n"/>
      <c r="BM128" s="54" t="n"/>
      <c r="BN128" s="54" t="n"/>
      <c r="BO128" s="54" t="n"/>
      <c r="BP128" s="54" t="n"/>
      <c r="BQ128" s="54" t="n"/>
      <c r="BR128" s="54" t="n"/>
      <c r="BS128" s="54" t="n"/>
      <c r="BT128" s="54" t="n"/>
      <c r="BU128" s="54" t="n"/>
    </row>
    <row r="129">
      <c r="AU129" s="54" t="n"/>
      <c r="AV129" s="54" t="n"/>
      <c r="AW129" s="54" t="n"/>
      <c r="AX129" s="54" t="n"/>
      <c r="AY129" s="54" t="n"/>
      <c r="AZ129" s="54" t="n"/>
      <c r="BA129" s="54" t="n"/>
      <c r="BB129" s="54" t="n"/>
      <c r="BC129" s="54" t="n"/>
      <c r="BD129" s="54" t="n"/>
      <c r="BE129" s="54" t="n"/>
      <c r="BF129" s="54" t="n"/>
      <c r="BG129" s="54" t="n"/>
      <c r="BH129" s="54" t="n"/>
      <c r="BI129" s="54" t="n"/>
      <c r="BJ129" s="54" t="n"/>
      <c r="BK129" s="54" t="n"/>
      <c r="BL129" s="54" t="n"/>
      <c r="BM129" s="54" t="n"/>
      <c r="BN129" s="54" t="n"/>
      <c r="BO129" s="54" t="n"/>
      <c r="BP129" s="54" t="n"/>
      <c r="BQ129" s="54" t="n"/>
      <c r="BR129" s="54" t="n"/>
      <c r="BS129" s="54" t="n"/>
      <c r="BT129" s="54" t="n"/>
      <c r="BU129" s="54" t="n"/>
    </row>
    <row r="130">
      <c r="AU130" s="54" t="n"/>
      <c r="AV130" s="54" t="n"/>
      <c r="AW130" s="54" t="n"/>
      <c r="AX130" s="54" t="n"/>
      <c r="AY130" s="54" t="n"/>
      <c r="AZ130" s="54" t="n"/>
      <c r="BA130" s="54" t="n"/>
      <c r="BB130" s="54" t="n"/>
      <c r="BC130" s="54" t="n"/>
      <c r="BD130" s="54" t="n"/>
      <c r="BE130" s="54" t="n"/>
      <c r="BF130" s="54" t="n"/>
      <c r="BG130" s="54" t="n"/>
      <c r="BH130" s="54" t="n"/>
      <c r="BI130" s="54" t="n"/>
      <c r="BJ130" s="54" t="n"/>
      <c r="BK130" s="54" t="n"/>
      <c r="BL130" s="54" t="n"/>
      <c r="BM130" s="54" t="n"/>
      <c r="BN130" s="54" t="n"/>
      <c r="BO130" s="54" t="n"/>
      <c r="BP130" s="54" t="n"/>
      <c r="BQ130" s="54" t="n"/>
      <c r="BR130" s="54" t="n"/>
      <c r="BS130" s="54" t="n"/>
      <c r="BT130" s="54" t="n"/>
      <c r="BU130" s="54" t="n"/>
    </row>
    <row r="131">
      <c r="AU131" s="54" t="n"/>
      <c r="AV131" s="54" t="n"/>
      <c r="AW131" s="54" t="n"/>
      <c r="AX131" s="54" t="n"/>
      <c r="AY131" s="54" t="n"/>
      <c r="AZ131" s="54" t="n"/>
      <c r="BA131" s="54" t="n"/>
      <c r="BB131" s="54" t="n"/>
      <c r="BC131" s="54" t="n"/>
      <c r="BD131" s="54" t="n"/>
      <c r="BE131" s="54" t="n"/>
      <c r="BF131" s="54" t="n"/>
      <c r="BG131" s="54" t="n"/>
      <c r="BH131" s="54" t="n"/>
      <c r="BI131" s="54" t="n"/>
      <c r="BJ131" s="54" t="n"/>
      <c r="BK131" s="54" t="n"/>
      <c r="BL131" s="54" t="n"/>
      <c r="BM131" s="54" t="n"/>
      <c r="BN131" s="54" t="n"/>
      <c r="BO131" s="54" t="n"/>
      <c r="BP131" s="54" t="n"/>
      <c r="BQ131" s="54" t="n"/>
      <c r="BR131" s="54" t="n"/>
      <c r="BS131" s="54" t="n"/>
      <c r="BT131" s="54" t="n"/>
      <c r="BU131" s="54" t="n"/>
    </row>
    <row r="132">
      <c r="AU132" s="54" t="n"/>
      <c r="AV132" s="54" t="n"/>
      <c r="AW132" s="54" t="n"/>
      <c r="AX132" s="54" t="n"/>
      <c r="AY132" s="54" t="n"/>
      <c r="AZ132" s="54" t="n"/>
      <c r="BA132" s="54" t="n"/>
      <c r="BB132" s="54" t="n"/>
      <c r="BC132" s="54" t="n"/>
      <c r="BD132" s="54" t="n"/>
      <c r="BE132" s="54" t="n"/>
      <c r="BF132" s="54" t="n"/>
      <c r="BG132" s="54" t="n"/>
      <c r="BH132" s="54" t="n"/>
      <c r="BI132" s="54" t="n"/>
      <c r="BJ132" s="54" t="n"/>
      <c r="BK132" s="54" t="n"/>
      <c r="BL132" s="54" t="n"/>
      <c r="BM132" s="54" t="n"/>
      <c r="BN132" s="54" t="n"/>
      <c r="BO132" s="54" t="n"/>
      <c r="BP132" s="54" t="n"/>
      <c r="BQ132" s="54" t="n"/>
      <c r="BR132" s="54" t="n"/>
      <c r="BS132" s="54" t="n"/>
      <c r="BT132" s="54" t="n"/>
      <c r="BU132" s="54" t="n"/>
    </row>
    <row r="133">
      <c r="AU133" s="54" t="n"/>
      <c r="AV133" s="54" t="n"/>
      <c r="AW133" s="54" t="n"/>
      <c r="AX133" s="54" t="n"/>
      <c r="AY133" s="54" t="n"/>
      <c r="AZ133" s="54" t="n"/>
      <c r="BA133" s="54" t="n"/>
      <c r="BB133" s="54" t="n"/>
      <c r="BC133" s="54" t="n"/>
      <c r="BD133" s="54" t="n"/>
      <c r="BE133" s="54" t="n"/>
      <c r="BF133" s="54" t="n"/>
      <c r="BG133" s="54" t="n"/>
      <c r="BH133" s="54" t="n"/>
      <c r="BI133" s="54" t="n"/>
      <c r="BJ133" s="54" t="n"/>
      <c r="BK133" s="54" t="n"/>
      <c r="BL133" s="54" t="n"/>
      <c r="BM133" s="54" t="n"/>
      <c r="BN133" s="54" t="n"/>
      <c r="BO133" s="54" t="n"/>
      <c r="BP133" s="54" t="n"/>
      <c r="BQ133" s="54" t="n"/>
      <c r="BR133" s="54" t="n"/>
      <c r="BS133" s="54" t="n"/>
      <c r="BT133" s="54" t="n"/>
      <c r="BU133" s="54" t="n"/>
    </row>
    <row r="134">
      <c r="AU134" s="54" t="n"/>
      <c r="AV134" s="54" t="n"/>
      <c r="AW134" s="54" t="n"/>
      <c r="AX134" s="54" t="n"/>
      <c r="AY134" s="54" t="n"/>
      <c r="AZ134" s="54" t="n"/>
      <c r="BA134" s="54" t="n"/>
      <c r="BB134" s="54" t="n"/>
      <c r="BC134" s="54" t="n"/>
      <c r="BD134" s="54" t="n"/>
      <c r="BE134" s="54" t="n"/>
      <c r="BF134" s="54" t="n"/>
      <c r="BG134" s="54" t="n"/>
      <c r="BH134" s="54" t="n"/>
      <c r="BI134" s="54" t="n"/>
      <c r="BJ134" s="54" t="n"/>
      <c r="BK134" s="54" t="n"/>
      <c r="BL134" s="54" t="n"/>
      <c r="BM134" s="54" t="n"/>
      <c r="BN134" s="54" t="n"/>
      <c r="BO134" s="54" t="n"/>
      <c r="BP134" s="54" t="n"/>
      <c r="BQ134" s="54" t="n"/>
      <c r="BR134" s="54" t="n"/>
      <c r="BS134" s="54" t="n"/>
      <c r="BT134" s="54" t="n"/>
      <c r="BU134" s="54" t="n"/>
    </row>
    <row r="135">
      <c r="AU135" s="54" t="n"/>
      <c r="AV135" s="54" t="n"/>
      <c r="AW135" s="54" t="n"/>
      <c r="AX135" s="54" t="n"/>
      <c r="AY135" s="54" t="n"/>
      <c r="AZ135" s="54" t="n"/>
      <c r="BA135" s="54" t="n"/>
      <c r="BB135" s="54" t="n"/>
      <c r="BC135" s="54" t="n"/>
      <c r="BD135" s="54" t="n"/>
      <c r="BE135" s="54" t="n"/>
      <c r="BF135" s="54" t="n"/>
      <c r="BG135" s="54" t="n"/>
      <c r="BH135" s="54" t="n"/>
      <c r="BI135" s="54" t="n"/>
      <c r="BJ135" s="54" t="n"/>
      <c r="BK135" s="54" t="n"/>
      <c r="BL135" s="54" t="n"/>
      <c r="BM135" s="54" t="n"/>
      <c r="BN135" s="54" t="n"/>
      <c r="BO135" s="54" t="n"/>
      <c r="BP135" s="54" t="n"/>
      <c r="BQ135" s="54" t="n"/>
      <c r="BR135" s="54" t="n"/>
      <c r="BS135" s="54" t="n"/>
      <c r="BT135" s="54" t="n"/>
      <c r="BU135" s="54" t="n"/>
    </row>
    <row r="136">
      <c r="AU136" s="54" t="n"/>
      <c r="AV136" s="54" t="n"/>
      <c r="AW136" s="54" t="n"/>
      <c r="AX136" s="54" t="n"/>
      <c r="AY136" s="54" t="n"/>
      <c r="AZ136" s="54" t="n"/>
      <c r="BA136" s="54" t="n"/>
      <c r="BB136" s="54" t="n"/>
      <c r="BC136" s="54" t="n"/>
      <c r="BD136" s="54" t="n"/>
      <c r="BE136" s="54" t="n"/>
      <c r="BF136" s="54" t="n"/>
      <c r="BG136" s="54" t="n"/>
      <c r="BH136" s="54" t="n"/>
      <c r="BI136" s="54" t="n"/>
      <c r="BJ136" s="54" t="n"/>
      <c r="BK136" s="54" t="n"/>
      <c r="BL136" s="54" t="n"/>
      <c r="BM136" s="54" t="n"/>
      <c r="BN136" s="54" t="n"/>
      <c r="BO136" s="54" t="n"/>
      <c r="BP136" s="54" t="n"/>
      <c r="BQ136" s="54" t="n"/>
      <c r="BR136" s="54" t="n"/>
      <c r="BS136" s="54" t="n"/>
      <c r="BT136" s="54" t="n"/>
      <c r="BU136" s="54" t="n"/>
    </row>
    <row r="137">
      <c r="AU137" s="54" t="n"/>
      <c r="AV137" s="54" t="n"/>
      <c r="AW137" s="54" t="n"/>
      <c r="AX137" s="54" t="n"/>
      <c r="AY137" s="54" t="n"/>
      <c r="AZ137" s="54" t="n"/>
      <c r="BA137" s="54" t="n"/>
      <c r="BB137" s="54" t="n"/>
      <c r="BC137" s="54" t="n"/>
      <c r="BD137" s="54" t="n"/>
      <c r="BE137" s="54" t="n"/>
      <c r="BF137" s="54" t="n"/>
      <c r="BG137" s="54" t="n"/>
      <c r="BH137" s="54" t="n"/>
      <c r="BI137" s="54" t="n"/>
      <c r="BJ137" s="54" t="n"/>
      <c r="BK137" s="54" t="n"/>
      <c r="BL137" s="54" t="n"/>
      <c r="BM137" s="54" t="n"/>
      <c r="BN137" s="54" t="n"/>
      <c r="BO137" s="54" t="n"/>
      <c r="BP137" s="54" t="n"/>
      <c r="BQ137" s="54" t="n"/>
      <c r="BR137" s="54" t="n"/>
      <c r="BS137" s="54" t="n"/>
      <c r="BT137" s="54" t="n"/>
      <c r="BU137" s="54" t="n"/>
    </row>
    <row r="138">
      <c r="AU138" s="54" t="n"/>
      <c r="AV138" s="54" t="n"/>
      <c r="AW138" s="54" t="n"/>
      <c r="AX138" s="54" t="n"/>
      <c r="AY138" s="54" t="n"/>
      <c r="AZ138" s="54" t="n"/>
      <c r="BA138" s="54" t="n"/>
      <c r="BB138" s="54" t="n"/>
      <c r="BC138" s="54" t="n"/>
      <c r="BD138" s="54" t="n"/>
      <c r="BE138" s="54" t="n"/>
      <c r="BF138" s="54" t="n"/>
      <c r="BG138" s="54" t="n"/>
      <c r="BH138" s="54" t="n"/>
      <c r="BI138" s="54" t="n"/>
      <c r="BJ138" s="54" t="n"/>
      <c r="BK138" s="54" t="n"/>
      <c r="BL138" s="54" t="n"/>
      <c r="BM138" s="54" t="n"/>
      <c r="BN138" s="54" t="n"/>
      <c r="BO138" s="54" t="n"/>
      <c r="BP138" s="54" t="n"/>
      <c r="BQ138" s="54" t="n"/>
      <c r="BR138" s="54" t="n"/>
      <c r="BS138" s="54" t="n"/>
      <c r="BT138" s="54" t="n"/>
      <c r="BU138" s="54" t="n"/>
    </row>
    <row r="139">
      <c r="AU139" s="54" t="n"/>
      <c r="AV139" s="54" t="n"/>
      <c r="AW139" s="54" t="n"/>
      <c r="AX139" s="54" t="n"/>
      <c r="AY139" s="54" t="n"/>
      <c r="AZ139" s="54" t="n"/>
      <c r="BA139" s="54" t="n"/>
      <c r="BB139" s="54" t="n"/>
      <c r="BC139" s="54" t="n"/>
      <c r="BD139" s="54" t="n"/>
      <c r="BE139" s="54" t="n"/>
      <c r="BF139" s="54" t="n"/>
      <c r="BG139" s="54" t="n"/>
      <c r="BH139" s="54" t="n"/>
      <c r="BI139" s="54" t="n"/>
      <c r="BJ139" s="54" t="n"/>
      <c r="BK139" s="54" t="n"/>
      <c r="BL139" s="54" t="n"/>
      <c r="BM139" s="54" t="n"/>
      <c r="BN139" s="54" t="n"/>
      <c r="BO139" s="54" t="n"/>
      <c r="BP139" s="54" t="n"/>
      <c r="BQ139" s="54" t="n"/>
      <c r="BR139" s="54" t="n"/>
      <c r="BS139" s="54" t="n"/>
      <c r="BT139" s="54" t="n"/>
      <c r="BU139" s="54" t="n"/>
    </row>
    <row r="140">
      <c r="AU140" s="54" t="n"/>
      <c r="AV140" s="54" t="n"/>
      <c r="AW140" s="54" t="n"/>
      <c r="AX140" s="54" t="n"/>
      <c r="AY140" s="54" t="n"/>
      <c r="AZ140" s="54" t="n"/>
      <c r="BA140" s="54" t="n"/>
      <c r="BB140" s="54" t="n"/>
      <c r="BC140" s="54" t="n"/>
      <c r="BD140" s="54" t="n"/>
      <c r="BE140" s="54" t="n"/>
      <c r="BF140" s="54" t="n"/>
      <c r="BG140" s="54" t="n"/>
      <c r="BH140" s="54" t="n"/>
      <c r="BI140" s="54" t="n"/>
      <c r="BJ140" s="54" t="n"/>
      <c r="BK140" s="54" t="n"/>
      <c r="BL140" s="54" t="n"/>
      <c r="BM140" s="54" t="n"/>
      <c r="BN140" s="54" t="n"/>
      <c r="BO140" s="54" t="n"/>
      <c r="BP140" s="54" t="n"/>
      <c r="BQ140" s="54" t="n"/>
      <c r="BR140" s="54" t="n"/>
      <c r="BS140" s="54" t="n"/>
      <c r="BT140" s="54" t="n"/>
      <c r="BU140" s="54" t="n"/>
    </row>
    <row r="141">
      <c r="AU141" s="54" t="n"/>
      <c r="AV141" s="54" t="n"/>
      <c r="AW141" s="54" t="n"/>
      <c r="AX141" s="54" t="n"/>
      <c r="AY141" s="54" t="n"/>
      <c r="AZ141" s="54" t="n"/>
      <c r="BA141" s="54" t="n"/>
      <c r="BB141" s="54" t="n"/>
      <c r="BC141" s="54" t="n"/>
      <c r="BD141" s="54" t="n"/>
      <c r="BE141" s="54" t="n"/>
      <c r="BF141" s="54" t="n"/>
      <c r="BG141" s="54" t="n"/>
      <c r="BH141" s="54" t="n"/>
      <c r="BI141" s="54" t="n"/>
      <c r="BJ141" s="54" t="n"/>
      <c r="BK141" s="54" t="n"/>
      <c r="BL141" s="54" t="n"/>
      <c r="BM141" s="54" t="n"/>
      <c r="BN141" s="54" t="n"/>
      <c r="BO141" s="54" t="n"/>
      <c r="BP141" s="54" t="n"/>
      <c r="BQ141" s="54" t="n"/>
      <c r="BR141" s="54" t="n"/>
      <c r="BS141" s="54" t="n"/>
      <c r="BT141" s="54" t="n"/>
      <c r="BU141" s="54" t="n"/>
    </row>
    <row r="142">
      <c r="AU142" s="54" t="n"/>
      <c r="AV142" s="54" t="n"/>
      <c r="AW142" s="54" t="n"/>
      <c r="AX142" s="54" t="n"/>
      <c r="AY142" s="54" t="n"/>
      <c r="AZ142" s="54" t="n"/>
      <c r="BA142" s="54" t="n"/>
      <c r="BB142" s="54" t="n"/>
      <c r="BC142" s="54" t="n"/>
      <c r="BD142" s="54" t="n"/>
      <c r="BE142" s="54" t="n"/>
      <c r="BF142" s="54" t="n"/>
      <c r="BG142" s="54" t="n"/>
      <c r="BH142" s="54" t="n"/>
      <c r="BI142" s="54" t="n"/>
      <c r="BJ142" s="54" t="n"/>
      <c r="BK142" s="54" t="n"/>
      <c r="BL142" s="54" t="n"/>
      <c r="BM142" s="54" t="n"/>
      <c r="BN142" s="54" t="n"/>
      <c r="BO142" s="54" t="n"/>
      <c r="BP142" s="54" t="n"/>
      <c r="BQ142" s="54" t="n"/>
      <c r="BR142" s="54" t="n"/>
      <c r="BS142" s="54" t="n"/>
      <c r="BT142" s="54" t="n"/>
      <c r="BU142" s="54" t="n"/>
    </row>
    <row r="143">
      <c r="AU143" s="54" t="n"/>
      <c r="AV143" s="54" t="n"/>
      <c r="AW143" s="54" t="n"/>
      <c r="AX143" s="54" t="n"/>
      <c r="AY143" s="54" t="n"/>
      <c r="AZ143" s="54" t="n"/>
      <c r="BA143" s="54" t="n"/>
      <c r="BB143" s="54" t="n"/>
      <c r="BC143" s="54" t="n"/>
      <c r="BD143" s="54" t="n"/>
      <c r="BE143" s="54" t="n"/>
      <c r="BF143" s="54" t="n"/>
      <c r="BG143" s="54" t="n"/>
      <c r="BH143" s="54" t="n"/>
      <c r="BI143" s="54" t="n"/>
      <c r="BJ143" s="54" t="n"/>
      <c r="BK143" s="54" t="n"/>
      <c r="BL143" s="54" t="n"/>
      <c r="BM143" s="54" t="n"/>
      <c r="BN143" s="54" t="n"/>
      <c r="BO143" s="54" t="n"/>
      <c r="BP143" s="54" t="n"/>
      <c r="BQ143" s="54" t="n"/>
      <c r="BR143" s="54" t="n"/>
      <c r="BS143" s="54" t="n"/>
      <c r="BT143" s="54" t="n"/>
      <c r="BU143" s="54" t="n"/>
    </row>
    <row r="144">
      <c r="AU144" s="54" t="n"/>
      <c r="AV144" s="54" t="n"/>
      <c r="AW144" s="54" t="n"/>
      <c r="AX144" s="54" t="n"/>
      <c r="AY144" s="54" t="n"/>
      <c r="AZ144" s="54" t="n"/>
      <c r="BA144" s="54" t="n"/>
      <c r="BB144" s="54" t="n"/>
      <c r="BC144" s="54" t="n"/>
      <c r="BD144" s="54" t="n"/>
      <c r="BE144" s="54" t="n"/>
      <c r="BF144" s="54" t="n"/>
      <c r="BG144" s="54" t="n"/>
      <c r="BH144" s="54" t="n"/>
      <c r="BI144" s="54" t="n"/>
      <c r="BJ144" s="54" t="n"/>
      <c r="BK144" s="54" t="n"/>
      <c r="BL144" s="54" t="n"/>
      <c r="BM144" s="54" t="n"/>
      <c r="BN144" s="54" t="n"/>
      <c r="BO144" s="54" t="n"/>
      <c r="BP144" s="54" t="n"/>
      <c r="BQ144" s="54" t="n"/>
      <c r="BR144" s="54" t="n"/>
      <c r="BS144" s="54" t="n"/>
      <c r="BT144" s="54" t="n"/>
      <c r="BU144" s="54" t="n"/>
    </row>
    <row r="145">
      <c r="AU145" s="54" t="n"/>
      <c r="AV145" s="54" t="n"/>
      <c r="AW145" s="54" t="n"/>
      <c r="AX145" s="54" t="n"/>
      <c r="AY145" s="54" t="n"/>
      <c r="AZ145" s="54" t="n"/>
      <c r="BA145" s="54" t="n"/>
      <c r="BB145" s="54" t="n"/>
      <c r="BC145" s="54" t="n"/>
      <c r="BD145" s="54" t="n"/>
      <c r="BE145" s="54" t="n"/>
      <c r="BF145" s="54" t="n"/>
      <c r="BG145" s="54" t="n"/>
      <c r="BH145" s="54" t="n"/>
      <c r="BI145" s="54" t="n"/>
      <c r="BJ145" s="54" t="n"/>
      <c r="BK145" s="54" t="n"/>
      <c r="BL145" s="54" t="n"/>
      <c r="BM145" s="54" t="n"/>
      <c r="BN145" s="54" t="n"/>
      <c r="BO145" s="54" t="n"/>
      <c r="BP145" s="54" t="n"/>
      <c r="BQ145" s="54" t="n"/>
      <c r="BR145" s="54" t="n"/>
      <c r="BS145" s="54" t="n"/>
      <c r="BT145" s="54" t="n"/>
      <c r="BU145" s="54" t="n"/>
    </row>
    <row r="146">
      <c r="AU146" s="54" t="n"/>
      <c r="AV146" s="54" t="n"/>
      <c r="AW146" s="54" t="n"/>
      <c r="AX146" s="54" t="n"/>
      <c r="AY146" s="54" t="n"/>
      <c r="AZ146" s="54" t="n"/>
      <c r="BA146" s="54" t="n"/>
      <c r="BB146" s="54" t="n"/>
      <c r="BC146" s="54" t="n"/>
      <c r="BD146" s="54" t="n"/>
      <c r="BE146" s="54" t="n"/>
      <c r="BF146" s="54" t="n"/>
      <c r="BG146" s="54" t="n"/>
      <c r="BH146" s="54" t="n"/>
      <c r="BI146" s="54" t="n"/>
      <c r="BJ146" s="54" t="n"/>
      <c r="BK146" s="54" t="n"/>
      <c r="BL146" s="54" t="n"/>
      <c r="BM146" s="54" t="n"/>
      <c r="BN146" s="54" t="n"/>
      <c r="BO146" s="54" t="n"/>
      <c r="BP146" s="54" t="n"/>
      <c r="BQ146" s="54" t="n"/>
      <c r="BR146" s="54" t="n"/>
      <c r="BS146" s="54" t="n"/>
      <c r="BT146" s="54" t="n"/>
      <c r="BU146" s="54" t="n"/>
    </row>
    <row r="147">
      <c r="AU147" s="54" t="n"/>
      <c r="AV147" s="54" t="n"/>
      <c r="AW147" s="54" t="n"/>
      <c r="AX147" s="54" t="n"/>
      <c r="AY147" s="54" t="n"/>
      <c r="AZ147" s="54" t="n"/>
      <c r="BA147" s="54" t="n"/>
      <c r="BB147" s="54" t="n"/>
      <c r="BC147" s="54" t="n"/>
      <c r="BD147" s="54" t="n"/>
      <c r="BE147" s="54" t="n"/>
      <c r="BF147" s="54" t="n"/>
      <c r="BG147" s="54" t="n"/>
      <c r="BH147" s="54" t="n"/>
      <c r="BI147" s="54" t="n"/>
      <c r="BJ147" s="54" t="n"/>
      <c r="BK147" s="54" t="n"/>
      <c r="BL147" s="54" t="n"/>
      <c r="BM147" s="54" t="n"/>
      <c r="BN147" s="54" t="n"/>
      <c r="BO147" s="54" t="n"/>
      <c r="BP147" s="54" t="n"/>
      <c r="BQ147" s="54" t="n"/>
      <c r="BR147" s="54" t="n"/>
      <c r="BS147" s="54" t="n"/>
      <c r="BT147" s="54" t="n"/>
      <c r="BU147" s="54" t="n"/>
    </row>
    <row r="148">
      <c r="AU148" s="54" t="n"/>
      <c r="AV148" s="54" t="n"/>
      <c r="AW148" s="54" t="n"/>
      <c r="AX148" s="54" t="n"/>
      <c r="AY148" s="54" t="n"/>
      <c r="AZ148" s="54" t="n"/>
      <c r="BA148" s="54" t="n"/>
      <c r="BB148" s="54" t="n"/>
      <c r="BC148" s="54" t="n"/>
      <c r="BD148" s="54" t="n"/>
      <c r="BE148" s="54" t="n"/>
      <c r="BF148" s="54" t="n"/>
      <c r="BG148" s="54" t="n"/>
      <c r="BH148" s="54" t="n"/>
      <c r="BI148" s="54" t="n"/>
      <c r="BJ148" s="54" t="n"/>
      <c r="BK148" s="54" t="n"/>
      <c r="BL148" s="54" t="n"/>
      <c r="BM148" s="54" t="n"/>
      <c r="BN148" s="54" t="n"/>
      <c r="BO148" s="54" t="n"/>
      <c r="BP148" s="54" t="n"/>
      <c r="BQ148" s="54" t="n"/>
      <c r="BR148" s="54" t="n"/>
      <c r="BS148" s="54" t="n"/>
      <c r="BT148" s="54" t="n"/>
      <c r="BU148" s="54" t="n"/>
    </row>
    <row r="149">
      <c r="AU149" s="54" t="n"/>
      <c r="AV149" s="54" t="n"/>
      <c r="AW149" s="54" t="n"/>
      <c r="AX149" s="54" t="n"/>
      <c r="AY149" s="54" t="n"/>
      <c r="AZ149" s="54" t="n"/>
      <c r="BA149" s="54" t="n"/>
      <c r="BB149" s="54" t="n"/>
      <c r="BC149" s="54" t="n"/>
      <c r="BD149" s="54" t="n"/>
      <c r="BE149" s="54" t="n"/>
      <c r="BF149" s="54" t="n"/>
      <c r="BG149" s="54" t="n"/>
      <c r="BH149" s="54" t="n"/>
      <c r="BI149" s="54" t="n"/>
      <c r="BJ149" s="54" t="n"/>
      <c r="BK149" s="54" t="n"/>
      <c r="BL149" s="54" t="n"/>
      <c r="BM149" s="54" t="n"/>
      <c r="BN149" s="54" t="n"/>
      <c r="BO149" s="54" t="n"/>
      <c r="BP149" s="54" t="n"/>
      <c r="BQ149" s="54" t="n"/>
      <c r="BR149" s="54" t="n"/>
      <c r="BS149" s="54" t="n"/>
      <c r="BT149" s="54" t="n"/>
      <c r="BU149" s="54" t="n"/>
    </row>
    <row r="150">
      <c r="AU150" s="54" t="n"/>
      <c r="AV150" s="54" t="n"/>
      <c r="AW150" s="54" t="n"/>
      <c r="AX150" s="54" t="n"/>
      <c r="AY150" s="54" t="n"/>
      <c r="AZ150" s="54" t="n"/>
      <c r="BA150" s="54" t="n"/>
      <c r="BB150" s="54" t="n"/>
      <c r="BC150" s="54" t="n"/>
      <c r="BD150" s="54" t="n"/>
      <c r="BE150" s="54" t="n"/>
      <c r="BF150" s="54" t="n"/>
      <c r="BG150" s="54" t="n"/>
      <c r="BH150" s="54" t="n"/>
      <c r="BI150" s="54" t="n"/>
      <c r="BJ150" s="54" t="n"/>
      <c r="BK150" s="54" t="n"/>
      <c r="BL150" s="54" t="n"/>
      <c r="BM150" s="54" t="n"/>
      <c r="BN150" s="54" t="n"/>
      <c r="BO150" s="54" t="n"/>
      <c r="BP150" s="54" t="n"/>
      <c r="BQ150" s="54" t="n"/>
      <c r="BR150" s="54" t="n"/>
      <c r="BS150" s="54" t="n"/>
      <c r="BT150" s="54" t="n"/>
      <c r="BU150" s="54" t="n"/>
    </row>
    <row r="151">
      <c r="AU151" s="54" t="n"/>
      <c r="AV151" s="54" t="n"/>
      <c r="AW151" s="54" t="n"/>
      <c r="AX151" s="54" t="n"/>
      <c r="AY151" s="54" t="n"/>
      <c r="AZ151" s="54" t="n"/>
      <c r="BA151" s="54" t="n"/>
      <c r="BB151" s="54" t="n"/>
      <c r="BC151" s="54" t="n"/>
      <c r="BD151" s="54" t="n"/>
      <c r="BE151" s="54" t="n"/>
      <c r="BF151" s="54" t="n"/>
      <c r="BG151" s="54" t="n"/>
      <c r="BH151" s="54" t="n"/>
      <c r="BI151" s="54" t="n"/>
      <c r="BJ151" s="54" t="n"/>
      <c r="BK151" s="54" t="n"/>
      <c r="BL151" s="54" t="n"/>
      <c r="BM151" s="54" t="n"/>
      <c r="BN151" s="54" t="n"/>
      <c r="BO151" s="54" t="n"/>
      <c r="BP151" s="54" t="n"/>
      <c r="BQ151" s="54" t="n"/>
      <c r="BR151" s="54" t="n"/>
      <c r="BS151" s="54" t="n"/>
      <c r="BT151" s="54" t="n"/>
      <c r="BU151" s="54" t="n"/>
    </row>
    <row r="152">
      <c r="AU152" s="54" t="n"/>
      <c r="AV152" s="54" t="n"/>
      <c r="AW152" s="54" t="n"/>
      <c r="AX152" s="54" t="n"/>
      <c r="AY152" s="54" t="n"/>
      <c r="AZ152" s="54" t="n"/>
      <c r="BA152" s="54" t="n"/>
      <c r="BB152" s="54" t="n"/>
      <c r="BC152" s="54" t="n"/>
      <c r="BD152" s="54" t="n"/>
      <c r="BE152" s="54" t="n"/>
      <c r="BF152" s="54" t="n"/>
      <c r="BG152" s="54" t="n"/>
      <c r="BH152" s="54" t="n"/>
      <c r="BI152" s="54" t="n"/>
      <c r="BJ152" s="54" t="n"/>
      <c r="BK152" s="54" t="n"/>
      <c r="BL152" s="54" t="n"/>
      <c r="BM152" s="54" t="n"/>
      <c r="BN152" s="54" t="n"/>
      <c r="BO152" s="54" t="n"/>
      <c r="BP152" s="54" t="n"/>
      <c r="BQ152" s="54" t="n"/>
      <c r="BR152" s="54" t="n"/>
      <c r="BS152" s="54" t="n"/>
      <c r="BT152" s="54" t="n"/>
      <c r="BU152" s="54" t="n"/>
    </row>
    <row r="153">
      <c r="AU153" s="54" t="n"/>
      <c r="AV153" s="54" t="n"/>
      <c r="AW153" s="54" t="n"/>
      <c r="AX153" s="54" t="n"/>
      <c r="AY153" s="54" t="n"/>
      <c r="AZ153" s="54" t="n"/>
      <c r="BA153" s="54" t="n"/>
      <c r="BB153" s="54" t="n"/>
      <c r="BC153" s="54" t="n"/>
      <c r="BD153" s="54" t="n"/>
      <c r="BE153" s="54" t="n"/>
      <c r="BF153" s="54" t="n"/>
      <c r="BG153" s="54" t="n"/>
      <c r="BH153" s="54" t="n"/>
      <c r="BI153" s="54" t="n"/>
      <c r="BJ153" s="54" t="n"/>
      <c r="BK153" s="54" t="n"/>
      <c r="BL153" s="54" t="n"/>
      <c r="BM153" s="54" t="n"/>
      <c r="BN153" s="54" t="n"/>
      <c r="BO153" s="54" t="n"/>
      <c r="BP153" s="54" t="n"/>
      <c r="BQ153" s="54" t="n"/>
      <c r="BR153" s="54" t="n"/>
      <c r="BS153" s="54" t="n"/>
      <c r="BT153" s="54" t="n"/>
      <c r="BU153" s="54" t="n"/>
    </row>
    <row r="154">
      <c r="AU154" s="54" t="n"/>
      <c r="AV154" s="54" t="n"/>
      <c r="AW154" s="54" t="n"/>
      <c r="AX154" s="54" t="n"/>
      <c r="AY154" s="54" t="n"/>
      <c r="AZ154" s="54" t="n"/>
      <c r="BA154" s="54" t="n"/>
      <c r="BB154" s="54" t="n"/>
      <c r="BC154" s="54" t="n"/>
      <c r="BD154" s="54" t="n"/>
      <c r="BE154" s="54" t="n"/>
      <c r="BF154" s="54" t="n"/>
      <c r="BG154" s="54" t="n"/>
      <c r="BH154" s="54" t="n"/>
      <c r="BI154" s="54" t="n"/>
      <c r="BJ154" s="54" t="n"/>
      <c r="BK154" s="54" t="n"/>
      <c r="BL154" s="54" t="n"/>
      <c r="BM154" s="54" t="n"/>
      <c r="BN154" s="54" t="n"/>
      <c r="BO154" s="54" t="n"/>
      <c r="BP154" s="54" t="n"/>
      <c r="BQ154" s="54" t="n"/>
      <c r="BR154" s="54" t="n"/>
      <c r="BS154" s="54" t="n"/>
      <c r="BT154" s="54" t="n"/>
      <c r="BU154" s="54" t="n"/>
    </row>
    <row r="155">
      <c r="AU155" s="54" t="n"/>
      <c r="AV155" s="54" t="n"/>
      <c r="AW155" s="54" t="n"/>
      <c r="AX155" s="54" t="n"/>
      <c r="AY155" s="54" t="n"/>
      <c r="AZ155" s="54" t="n"/>
      <c r="BA155" s="54" t="n"/>
      <c r="BB155" s="54" t="n"/>
      <c r="BC155" s="54" t="n"/>
      <c r="BD155" s="54" t="n"/>
      <c r="BE155" s="54" t="n"/>
      <c r="BF155" s="54" t="n"/>
      <c r="BG155" s="54" t="n"/>
      <c r="BH155" s="54" t="n"/>
      <c r="BI155" s="54" t="n"/>
      <c r="BJ155" s="54" t="n"/>
      <c r="BK155" s="54" t="n"/>
      <c r="BL155" s="54" t="n"/>
      <c r="BM155" s="54" t="n"/>
      <c r="BN155" s="54" t="n"/>
      <c r="BO155" s="54" t="n"/>
      <c r="BP155" s="54" t="n"/>
      <c r="BQ155" s="54" t="n"/>
      <c r="BR155" s="54" t="n"/>
      <c r="BS155" s="54" t="n"/>
      <c r="BT155" s="54" t="n"/>
      <c r="BU155" s="54" t="n"/>
    </row>
    <row r="156">
      <c r="AU156" s="54" t="n"/>
      <c r="AV156" s="54" t="n"/>
      <c r="AW156" s="54" t="n"/>
      <c r="AX156" s="54" t="n"/>
      <c r="AY156" s="54" t="n"/>
      <c r="AZ156" s="54" t="n"/>
      <c r="BA156" s="54" t="n"/>
      <c r="BB156" s="54" t="n"/>
      <c r="BC156" s="54" t="n"/>
      <c r="BD156" s="54" t="n"/>
      <c r="BE156" s="54" t="n"/>
      <c r="BF156" s="54" t="n"/>
      <c r="BG156" s="54" t="n"/>
      <c r="BH156" s="54" t="n"/>
      <c r="BI156" s="54" t="n"/>
      <c r="BJ156" s="54" t="n"/>
      <c r="BK156" s="54" t="n"/>
      <c r="BL156" s="54" t="n"/>
      <c r="BM156" s="54" t="n"/>
      <c r="BN156" s="54" t="n"/>
      <c r="BO156" s="54" t="n"/>
      <c r="BP156" s="54" t="n"/>
      <c r="BQ156" s="54" t="n"/>
      <c r="BR156" s="54" t="n"/>
      <c r="BS156" s="54" t="n"/>
      <c r="BT156" s="54" t="n"/>
      <c r="BU156" s="54" t="n"/>
    </row>
    <row r="157">
      <c r="AU157" s="54" t="n"/>
      <c r="AV157" s="54" t="n"/>
      <c r="AW157" s="54" t="n"/>
      <c r="AX157" s="54" t="n"/>
      <c r="AY157" s="54" t="n"/>
      <c r="AZ157" s="54" t="n"/>
      <c r="BA157" s="54" t="n"/>
      <c r="BB157" s="54" t="n"/>
      <c r="BC157" s="54" t="n"/>
      <c r="BD157" s="54" t="n"/>
      <c r="BE157" s="54" t="n"/>
      <c r="BF157" s="54" t="n"/>
      <c r="BG157" s="54" t="n"/>
      <c r="BH157" s="54" t="n"/>
      <c r="BI157" s="54" t="n"/>
      <c r="BJ157" s="54" t="n"/>
      <c r="BK157" s="54" t="n"/>
      <c r="BL157" s="54" t="n"/>
      <c r="BM157" s="54" t="n"/>
      <c r="BN157" s="54" t="n"/>
      <c r="BO157" s="54" t="n"/>
      <c r="BP157" s="54" t="n"/>
      <c r="BQ157" s="54" t="n"/>
      <c r="BR157" s="54" t="n"/>
      <c r="BS157" s="54" t="n"/>
      <c r="BT157" s="54" t="n"/>
      <c r="BU157" s="54" t="n"/>
    </row>
    <row r="158">
      <c r="AU158" s="54" t="n"/>
      <c r="AV158" s="54" t="n"/>
      <c r="AW158" s="54" t="n"/>
      <c r="AX158" s="54" t="n"/>
      <c r="AY158" s="54" t="n"/>
      <c r="AZ158" s="54" t="n"/>
      <c r="BA158" s="54" t="n"/>
      <c r="BB158" s="54" t="n"/>
      <c r="BC158" s="54" t="n"/>
      <c r="BD158" s="54" t="n"/>
      <c r="BE158" s="54" t="n"/>
      <c r="BF158" s="54" t="n"/>
      <c r="BG158" s="54" t="n"/>
      <c r="BH158" s="54" t="n"/>
      <c r="BI158" s="54" t="n"/>
      <c r="BJ158" s="54" t="n"/>
      <c r="BK158" s="54" t="n"/>
      <c r="BL158" s="54" t="n"/>
      <c r="BM158" s="54" t="n"/>
      <c r="BN158" s="54" t="n"/>
      <c r="BO158" s="54" t="n"/>
      <c r="BP158" s="54" t="n"/>
      <c r="BQ158" s="54" t="n"/>
      <c r="BR158" s="54" t="n"/>
      <c r="BS158" s="54" t="n"/>
      <c r="BT158" s="54" t="n"/>
      <c r="BU158" s="54" t="n"/>
    </row>
    <row r="159">
      <c r="AU159" s="54" t="n"/>
      <c r="AV159" s="54" t="n"/>
      <c r="AW159" s="54" t="n"/>
      <c r="AX159" s="54" t="n"/>
      <c r="AY159" s="54" t="n"/>
      <c r="AZ159" s="54" t="n"/>
      <c r="BA159" s="54" t="n"/>
      <c r="BB159" s="54" t="n"/>
      <c r="BC159" s="54" t="n"/>
      <c r="BD159" s="54" t="n"/>
      <c r="BE159" s="54" t="n"/>
      <c r="BF159" s="54" t="n"/>
      <c r="BG159" s="54" t="n"/>
      <c r="BH159" s="54" t="n"/>
      <c r="BI159" s="54" t="n"/>
      <c r="BJ159" s="54" t="n"/>
      <c r="BK159" s="54" t="n"/>
      <c r="BL159" s="54" t="n"/>
      <c r="BM159" s="54" t="n"/>
      <c r="BN159" s="54" t="n"/>
      <c r="BO159" s="54" t="n"/>
      <c r="BP159" s="54" t="n"/>
      <c r="BQ159" s="54" t="n"/>
      <c r="BR159" s="54" t="n"/>
      <c r="BS159" s="54" t="n"/>
      <c r="BT159" s="54" t="n"/>
      <c r="BU159" s="54" t="n"/>
    </row>
    <row r="160">
      <c r="AU160" s="54" t="n"/>
      <c r="AV160" s="54" t="n"/>
      <c r="AW160" s="54" t="n"/>
      <c r="AX160" s="54" t="n"/>
      <c r="AY160" s="54" t="n"/>
      <c r="AZ160" s="54" t="n"/>
      <c r="BA160" s="54" t="n"/>
      <c r="BB160" s="54" t="n"/>
      <c r="BC160" s="54" t="n"/>
      <c r="BD160" s="54" t="n"/>
      <c r="BE160" s="54" t="n"/>
      <c r="BF160" s="54" t="n"/>
      <c r="BG160" s="54" t="n"/>
      <c r="BH160" s="54" t="n"/>
      <c r="BI160" s="54" t="n"/>
      <c r="BJ160" s="54" t="n"/>
      <c r="BK160" s="54" t="n"/>
      <c r="BL160" s="54" t="n"/>
      <c r="BM160" s="54" t="n"/>
      <c r="BN160" s="54" t="n"/>
      <c r="BO160" s="54" t="n"/>
      <c r="BP160" s="54" t="n"/>
      <c r="BQ160" s="54" t="n"/>
      <c r="BR160" s="54" t="n"/>
      <c r="BS160" s="54" t="n"/>
      <c r="BT160" s="54" t="n"/>
      <c r="BU160" s="54" t="n"/>
    </row>
    <row r="161">
      <c r="AU161" s="54" t="n"/>
      <c r="AV161" s="54" t="n"/>
      <c r="AW161" s="54" t="n"/>
      <c r="AX161" s="54" t="n"/>
      <c r="AY161" s="54" t="n"/>
      <c r="AZ161" s="54" t="n"/>
      <c r="BA161" s="54" t="n"/>
      <c r="BB161" s="54" t="n"/>
      <c r="BC161" s="54" t="n"/>
      <c r="BD161" s="54" t="n"/>
      <c r="BE161" s="54" t="n"/>
      <c r="BF161" s="54" t="n"/>
      <c r="BG161" s="54" t="n"/>
      <c r="BH161" s="54" t="n"/>
      <c r="BI161" s="54" t="n"/>
      <c r="BJ161" s="54" t="n"/>
      <c r="BK161" s="54" t="n"/>
      <c r="BL161" s="54" t="n"/>
      <c r="BM161" s="54" t="n"/>
      <c r="BN161" s="54" t="n"/>
      <c r="BO161" s="54" t="n"/>
      <c r="BP161" s="54" t="n"/>
      <c r="BQ161" s="54" t="n"/>
      <c r="BR161" s="54" t="n"/>
      <c r="BS161" s="54" t="n"/>
      <c r="BT161" s="54" t="n"/>
      <c r="BU161" s="54" t="n"/>
    </row>
    <row r="162">
      <c r="AU162" s="54" t="n"/>
      <c r="AV162" s="54" t="n"/>
      <c r="AW162" s="54" t="n"/>
      <c r="AX162" s="54" t="n"/>
      <c r="AY162" s="54" t="n"/>
      <c r="AZ162" s="54" t="n"/>
      <c r="BA162" s="54" t="n"/>
      <c r="BB162" s="54" t="n"/>
      <c r="BC162" s="54" t="n"/>
      <c r="BD162" s="54" t="n"/>
      <c r="BE162" s="54" t="n"/>
      <c r="BF162" s="54" t="n"/>
      <c r="BG162" s="54" t="n"/>
      <c r="BH162" s="54" t="n"/>
      <c r="BI162" s="54" t="n"/>
      <c r="BJ162" s="54" t="n"/>
      <c r="BK162" s="54" t="n"/>
      <c r="BL162" s="54" t="n"/>
      <c r="BM162" s="54" t="n"/>
      <c r="BN162" s="54" t="n"/>
      <c r="BO162" s="54" t="n"/>
      <c r="BP162" s="54" t="n"/>
      <c r="BQ162" s="54" t="n"/>
      <c r="BR162" s="54" t="n"/>
      <c r="BS162" s="54" t="n"/>
      <c r="BT162" s="54" t="n"/>
      <c r="BU162" s="54" t="n"/>
    </row>
    <row r="163">
      <c r="AU163" s="54" t="n"/>
      <c r="AV163" s="54" t="n"/>
      <c r="AW163" s="54" t="n"/>
      <c r="AX163" s="54" t="n"/>
      <c r="AY163" s="54" t="n"/>
      <c r="AZ163" s="54" t="n"/>
      <c r="BA163" s="54" t="n"/>
      <c r="BB163" s="54" t="n"/>
      <c r="BC163" s="54" t="n"/>
      <c r="BD163" s="54" t="n"/>
      <c r="BE163" s="54" t="n"/>
      <c r="BF163" s="54" t="n"/>
      <c r="BG163" s="54" t="n"/>
      <c r="BH163" s="54" t="n"/>
      <c r="BI163" s="54" t="n"/>
      <c r="BJ163" s="54" t="n"/>
      <c r="BK163" s="54" t="n"/>
      <c r="BL163" s="54" t="n"/>
      <c r="BM163" s="54" t="n"/>
      <c r="BN163" s="54" t="n"/>
      <c r="BO163" s="54" t="n"/>
      <c r="BP163" s="54" t="n"/>
      <c r="BQ163" s="54" t="n"/>
      <c r="BR163" s="54" t="n"/>
      <c r="BS163" s="54" t="n"/>
      <c r="BT163" s="54" t="n"/>
      <c r="BU163" s="54" t="n"/>
    </row>
    <row r="164">
      <c r="AU164" s="54" t="n"/>
      <c r="AV164" s="54" t="n"/>
      <c r="AW164" s="54" t="n"/>
      <c r="AX164" s="54" t="n"/>
      <c r="AY164" s="54" t="n"/>
      <c r="AZ164" s="54" t="n"/>
      <c r="BA164" s="54" t="n"/>
      <c r="BB164" s="54" t="n"/>
      <c r="BC164" s="54" t="n"/>
      <c r="BD164" s="54" t="n"/>
      <c r="BE164" s="54" t="n"/>
      <c r="BF164" s="54" t="n"/>
      <c r="BG164" s="54" t="n"/>
      <c r="BH164" s="54" t="n"/>
      <c r="BI164" s="54" t="n"/>
      <c r="BJ164" s="54" t="n"/>
      <c r="BK164" s="54" t="n"/>
      <c r="BL164" s="54" t="n"/>
      <c r="BM164" s="54" t="n"/>
      <c r="BN164" s="54" t="n"/>
      <c r="BO164" s="54" t="n"/>
      <c r="BP164" s="54" t="n"/>
      <c r="BQ164" s="54" t="n"/>
      <c r="BR164" s="54" t="n"/>
      <c r="BS164" s="54" t="n"/>
      <c r="BT164" s="54" t="n"/>
      <c r="BU164" s="54" t="n"/>
    </row>
    <row r="165">
      <c r="AU165" s="54" t="n"/>
      <c r="AV165" s="54" t="n"/>
      <c r="AW165" s="54" t="n"/>
      <c r="AX165" s="54" t="n"/>
      <c r="AY165" s="54" t="n"/>
      <c r="AZ165" s="54" t="n"/>
      <c r="BA165" s="54" t="n"/>
      <c r="BB165" s="54" t="n"/>
      <c r="BC165" s="54" t="n"/>
      <c r="BD165" s="54" t="n"/>
      <c r="BE165" s="54" t="n"/>
      <c r="BF165" s="54" t="n"/>
      <c r="BG165" s="54" t="n"/>
      <c r="BH165" s="54" t="n"/>
      <c r="BI165" s="54" t="n"/>
      <c r="BJ165" s="54" t="n"/>
      <c r="BK165" s="54" t="n"/>
      <c r="BL165" s="54" t="n"/>
      <c r="BM165" s="54" t="n"/>
      <c r="BN165" s="54" t="n"/>
      <c r="BO165" s="54" t="n"/>
      <c r="BP165" s="54" t="n"/>
      <c r="BQ165" s="54" t="n"/>
      <c r="BR165" s="54" t="n"/>
      <c r="BS165" s="54" t="n"/>
      <c r="BT165" s="54" t="n"/>
      <c r="BU165" s="54" t="n"/>
    </row>
    <row r="166">
      <c r="AU166" s="54" t="n"/>
      <c r="AV166" s="54" t="n"/>
      <c r="AW166" s="54" t="n"/>
      <c r="AX166" s="54" t="n"/>
      <c r="AY166" s="54" t="n"/>
      <c r="AZ166" s="54" t="n"/>
      <c r="BA166" s="54" t="n"/>
      <c r="BB166" s="54" t="n"/>
      <c r="BC166" s="54" t="n"/>
      <c r="BD166" s="54" t="n"/>
      <c r="BE166" s="54" t="n"/>
      <c r="BF166" s="54" t="n"/>
      <c r="BG166" s="54" t="n"/>
      <c r="BH166" s="54" t="n"/>
      <c r="BI166" s="54" t="n"/>
      <c r="BJ166" s="54" t="n"/>
      <c r="BK166" s="54" t="n"/>
      <c r="BL166" s="54" t="n"/>
      <c r="BM166" s="54" t="n"/>
      <c r="BN166" s="54" t="n"/>
      <c r="BO166" s="54" t="n"/>
      <c r="BP166" s="54" t="n"/>
      <c r="BQ166" s="54" t="n"/>
      <c r="BR166" s="54" t="n"/>
      <c r="BS166" s="54" t="n"/>
      <c r="BT166" s="54" t="n"/>
      <c r="BU166" s="54" t="n"/>
    </row>
    <row r="167">
      <c r="AU167" s="54" t="n"/>
      <c r="AV167" s="54" t="n"/>
      <c r="AW167" s="54" t="n"/>
      <c r="AX167" s="54" t="n"/>
      <c r="AY167" s="54" t="n"/>
      <c r="AZ167" s="54" t="n"/>
      <c r="BA167" s="54" t="n"/>
      <c r="BB167" s="54" t="n"/>
      <c r="BC167" s="54" t="n"/>
      <c r="BD167" s="54" t="n"/>
      <c r="BE167" s="54" t="n"/>
      <c r="BF167" s="54" t="n"/>
      <c r="BG167" s="54" t="n"/>
      <c r="BH167" s="54" t="n"/>
      <c r="BI167" s="54" t="n"/>
      <c r="BJ167" s="54" t="n"/>
      <c r="BK167" s="54" t="n"/>
      <c r="BL167" s="54" t="n"/>
      <c r="BM167" s="54" t="n"/>
      <c r="BN167" s="54" t="n"/>
      <c r="BO167" s="54" t="n"/>
      <c r="BP167" s="54" t="n"/>
      <c r="BQ167" s="54" t="n"/>
      <c r="BR167" s="54" t="n"/>
      <c r="BS167" s="54" t="n"/>
      <c r="BT167" s="54" t="n"/>
      <c r="BU167" s="54" t="n"/>
    </row>
    <row r="168">
      <c r="AU168" s="54" t="n"/>
      <c r="AV168" s="54" t="n"/>
      <c r="AW168" s="54" t="n"/>
      <c r="AX168" s="54" t="n"/>
      <c r="AY168" s="54" t="n"/>
      <c r="AZ168" s="54" t="n"/>
      <c r="BA168" s="54" t="n"/>
      <c r="BB168" s="54" t="n"/>
      <c r="BC168" s="54" t="n"/>
      <c r="BD168" s="54" t="n"/>
      <c r="BE168" s="54" t="n"/>
      <c r="BF168" s="54" t="n"/>
      <c r="BG168" s="54" t="n"/>
      <c r="BH168" s="54" t="n"/>
      <c r="BI168" s="54" t="n"/>
      <c r="BJ168" s="54" t="n"/>
      <c r="BK168" s="54" t="n"/>
      <c r="BL168" s="54" t="n"/>
      <c r="BM168" s="54" t="n"/>
      <c r="BN168" s="54" t="n"/>
      <c r="BO168" s="54" t="n"/>
      <c r="BP168" s="54" t="n"/>
      <c r="BQ168" s="54" t="n"/>
      <c r="BR168" s="54" t="n"/>
      <c r="BS168" s="54" t="n"/>
      <c r="BT168" s="54" t="n"/>
      <c r="BU168" s="54" t="n"/>
    </row>
    <row r="169">
      <c r="AU169" s="54" t="n"/>
      <c r="AV169" s="54" t="n"/>
      <c r="AW169" s="54" t="n"/>
      <c r="AX169" s="54" t="n"/>
      <c r="AY169" s="54" t="n"/>
      <c r="AZ169" s="54" t="n"/>
      <c r="BA169" s="54" t="n"/>
      <c r="BB169" s="54" t="n"/>
      <c r="BC169" s="54" t="n"/>
      <c r="BD169" s="54" t="n"/>
      <c r="BE169" s="54" t="n"/>
      <c r="BF169" s="54" t="n"/>
      <c r="BG169" s="54" t="n"/>
      <c r="BH169" s="54" t="n"/>
      <c r="BI169" s="54" t="n"/>
      <c r="BJ169" s="54" t="n"/>
      <c r="BK169" s="54" t="n"/>
      <c r="BL169" s="54" t="n"/>
      <c r="BM169" s="54" t="n"/>
      <c r="BN169" s="54" t="n"/>
      <c r="BO169" s="54" t="n"/>
      <c r="BP169" s="54" t="n"/>
      <c r="BQ169" s="54" t="n"/>
      <c r="BR169" s="54" t="n"/>
      <c r="BS169" s="54" t="n"/>
      <c r="BT169" s="54" t="n"/>
      <c r="BU169" s="54" t="n"/>
    </row>
    <row r="170">
      <c r="AU170" s="54" t="n"/>
      <c r="AV170" s="54" t="n"/>
      <c r="AW170" s="54" t="n"/>
      <c r="AX170" s="54" t="n"/>
      <c r="AY170" s="54" t="n"/>
      <c r="AZ170" s="54" t="n"/>
      <c r="BA170" s="54" t="n"/>
      <c r="BB170" s="54" t="n"/>
      <c r="BC170" s="54" t="n"/>
      <c r="BD170" s="54" t="n"/>
      <c r="BE170" s="54" t="n"/>
      <c r="BF170" s="54" t="n"/>
      <c r="BG170" s="54" t="n"/>
      <c r="BH170" s="54" t="n"/>
      <c r="BI170" s="54" t="n"/>
      <c r="BJ170" s="54" t="n"/>
      <c r="BK170" s="54" t="n"/>
      <c r="BL170" s="54" t="n"/>
      <c r="BM170" s="54" t="n"/>
      <c r="BN170" s="54" t="n"/>
      <c r="BO170" s="54" t="n"/>
      <c r="BP170" s="54" t="n"/>
      <c r="BQ170" s="54" t="n"/>
      <c r="BR170" s="54" t="n"/>
      <c r="BS170" s="54" t="n"/>
      <c r="BT170" s="54" t="n"/>
      <c r="BU170" s="54" t="n"/>
    </row>
    <row r="171">
      <c r="AU171" s="54" t="n"/>
      <c r="AV171" s="54" t="n"/>
      <c r="AW171" s="54" t="n"/>
      <c r="AX171" s="54" t="n"/>
      <c r="AY171" s="54" t="n"/>
      <c r="AZ171" s="54" t="n"/>
      <c r="BA171" s="54" t="n"/>
      <c r="BB171" s="54" t="n"/>
      <c r="BC171" s="54" t="n"/>
      <c r="BD171" s="54" t="n"/>
      <c r="BE171" s="54" t="n"/>
      <c r="BF171" s="54" t="n"/>
      <c r="BG171" s="54" t="n"/>
      <c r="BH171" s="54" t="n"/>
      <c r="BI171" s="54" t="n"/>
      <c r="BJ171" s="54" t="n"/>
      <c r="BK171" s="54" t="n"/>
      <c r="BL171" s="54" t="n"/>
      <c r="BM171" s="54" t="n"/>
      <c r="BN171" s="54" t="n"/>
      <c r="BO171" s="54" t="n"/>
      <c r="BP171" s="54" t="n"/>
      <c r="BQ171" s="54" t="n"/>
      <c r="BR171" s="54" t="n"/>
      <c r="BS171" s="54" t="n"/>
      <c r="BT171" s="54" t="n"/>
      <c r="BU171" s="54" t="n"/>
    </row>
    <row r="172">
      <c r="AU172" s="54" t="n"/>
      <c r="AV172" s="54" t="n"/>
      <c r="AW172" s="54" t="n"/>
      <c r="AX172" s="54" t="n"/>
      <c r="AY172" s="54" t="n"/>
      <c r="AZ172" s="54" t="n"/>
      <c r="BA172" s="54" t="n"/>
      <c r="BB172" s="54" t="n"/>
      <c r="BC172" s="54" t="n"/>
      <c r="BD172" s="54" t="n"/>
      <c r="BE172" s="54" t="n"/>
      <c r="BF172" s="54" t="n"/>
      <c r="BG172" s="54" t="n"/>
      <c r="BH172" s="54" t="n"/>
      <c r="BI172" s="54" t="n"/>
      <c r="BJ172" s="54" t="n"/>
      <c r="BK172" s="54" t="n"/>
      <c r="BL172" s="54" t="n"/>
      <c r="BM172" s="54" t="n"/>
      <c r="BN172" s="54" t="n"/>
      <c r="BO172" s="54" t="n"/>
      <c r="BP172" s="54" t="n"/>
      <c r="BQ172" s="54" t="n"/>
      <c r="BR172" s="54" t="n"/>
      <c r="BS172" s="54" t="n"/>
      <c r="BT172" s="54" t="n"/>
      <c r="BU172" s="54" t="n"/>
    </row>
    <row r="173">
      <c r="AU173" s="54" t="n"/>
      <c r="AV173" s="54" t="n"/>
      <c r="AW173" s="54" t="n"/>
      <c r="AX173" s="54" t="n"/>
      <c r="AY173" s="54" t="n"/>
      <c r="AZ173" s="54" t="n"/>
      <c r="BA173" s="54" t="n"/>
      <c r="BB173" s="54" t="n"/>
      <c r="BC173" s="54" t="n"/>
      <c r="BD173" s="54" t="n"/>
      <c r="BE173" s="54" t="n"/>
      <c r="BF173" s="54" t="n"/>
      <c r="BG173" s="54" t="n"/>
      <c r="BH173" s="54" t="n"/>
      <c r="BI173" s="54" t="n"/>
      <c r="BJ173" s="54" t="n"/>
      <c r="BK173" s="54" t="n"/>
      <c r="BL173" s="54" t="n"/>
      <c r="BM173" s="54" t="n"/>
      <c r="BN173" s="54" t="n"/>
      <c r="BO173" s="54" t="n"/>
      <c r="BP173" s="54" t="n"/>
      <c r="BQ173" s="54" t="n"/>
      <c r="BR173" s="54" t="n"/>
      <c r="BS173" s="54" t="n"/>
      <c r="BT173" s="54" t="n"/>
      <c r="BU173" s="54" t="n"/>
    </row>
    <row r="174">
      <c r="AU174" s="54" t="n"/>
      <c r="AV174" s="54" t="n"/>
      <c r="AW174" s="54" t="n"/>
      <c r="AX174" s="54" t="n"/>
      <c r="AY174" s="54" t="n"/>
      <c r="AZ174" s="54" t="n"/>
      <c r="BA174" s="54" t="n"/>
      <c r="BB174" s="54" t="n"/>
      <c r="BC174" s="54" t="n"/>
      <c r="BD174" s="54" t="n"/>
      <c r="BE174" s="54" t="n"/>
      <c r="BF174" s="54" t="n"/>
      <c r="BG174" s="54" t="n"/>
      <c r="BH174" s="54" t="n"/>
      <c r="BI174" s="54" t="n"/>
      <c r="BJ174" s="54" t="n"/>
      <c r="BK174" s="54" t="n"/>
      <c r="BL174" s="54" t="n"/>
      <c r="BM174" s="54" t="n"/>
      <c r="BN174" s="54" t="n"/>
      <c r="BO174" s="54" t="n"/>
      <c r="BP174" s="54" t="n"/>
      <c r="BQ174" s="54" t="n"/>
      <c r="BR174" s="54" t="n"/>
      <c r="BS174" s="54" t="n"/>
      <c r="BT174" s="54" t="n"/>
      <c r="BU174" s="54" t="n"/>
    </row>
    <row r="175">
      <c r="AU175" s="54" t="n"/>
      <c r="AV175" s="54" t="n"/>
      <c r="AW175" s="54" t="n"/>
      <c r="AX175" s="54" t="n"/>
      <c r="AY175" s="54" t="n"/>
      <c r="AZ175" s="54" t="n"/>
      <c r="BA175" s="54" t="n"/>
      <c r="BB175" s="54" t="n"/>
      <c r="BC175" s="54" t="n"/>
      <c r="BD175" s="54" t="n"/>
      <c r="BE175" s="54" t="n"/>
      <c r="BF175" s="54" t="n"/>
      <c r="BG175" s="54" t="n"/>
      <c r="BH175" s="54" t="n"/>
      <c r="BI175" s="54" t="n"/>
      <c r="BJ175" s="54" t="n"/>
      <c r="BK175" s="54" t="n"/>
      <c r="BL175" s="54" t="n"/>
      <c r="BM175" s="54" t="n"/>
      <c r="BN175" s="54" t="n"/>
      <c r="BO175" s="54" t="n"/>
      <c r="BP175" s="54" t="n"/>
      <c r="BQ175" s="54" t="n"/>
      <c r="BR175" s="54" t="n"/>
      <c r="BS175" s="54" t="n"/>
      <c r="BT175" s="54" t="n"/>
      <c r="BU175" s="54" t="n"/>
    </row>
    <row r="176">
      <c r="AU176" s="54" t="n"/>
      <c r="AV176" s="54" t="n"/>
      <c r="AW176" s="54" t="n"/>
      <c r="AX176" s="54" t="n"/>
      <c r="AY176" s="54" t="n"/>
      <c r="AZ176" s="54" t="n"/>
      <c r="BA176" s="54" t="n"/>
      <c r="BB176" s="54" t="n"/>
      <c r="BC176" s="54" t="n"/>
      <c r="BD176" s="54" t="n"/>
      <c r="BE176" s="54" t="n"/>
      <c r="BF176" s="54" t="n"/>
      <c r="BG176" s="54" t="n"/>
      <c r="BH176" s="54" t="n"/>
      <c r="BI176" s="54" t="n"/>
      <c r="BJ176" s="54" t="n"/>
      <c r="BK176" s="54" t="n"/>
      <c r="BL176" s="54" t="n"/>
      <c r="BM176" s="54" t="n"/>
      <c r="BN176" s="54" t="n"/>
      <c r="BO176" s="54" t="n"/>
      <c r="BP176" s="54" t="n"/>
      <c r="BQ176" s="54" t="n"/>
      <c r="BR176" s="54" t="n"/>
      <c r="BS176" s="54" t="n"/>
      <c r="BT176" s="54" t="n"/>
      <c r="BU176" s="54" t="n"/>
    </row>
    <row r="177">
      <c r="AU177" s="54" t="n"/>
      <c r="AV177" s="54" t="n"/>
      <c r="AW177" s="54" t="n"/>
      <c r="AX177" s="54" t="n"/>
      <c r="AY177" s="54" t="n"/>
      <c r="AZ177" s="54" t="n"/>
      <c r="BA177" s="54" t="n"/>
      <c r="BB177" s="54" t="n"/>
      <c r="BC177" s="54" t="n"/>
      <c r="BD177" s="54" t="n"/>
      <c r="BE177" s="54" t="n"/>
      <c r="BF177" s="54" t="n"/>
      <c r="BG177" s="54" t="n"/>
      <c r="BH177" s="54" t="n"/>
      <c r="BI177" s="54" t="n"/>
      <c r="BJ177" s="54" t="n"/>
      <c r="BK177" s="54" t="n"/>
      <c r="BL177" s="54" t="n"/>
      <c r="BM177" s="54" t="n"/>
      <c r="BN177" s="54" t="n"/>
      <c r="BO177" s="54" t="n"/>
      <c r="BP177" s="54" t="n"/>
      <c r="BQ177" s="54" t="n"/>
      <c r="BR177" s="54" t="n"/>
      <c r="BS177" s="54" t="n"/>
      <c r="BT177" s="54" t="n"/>
      <c r="BU177" s="54" t="n"/>
    </row>
    <row r="178">
      <c r="AU178" s="54" t="n"/>
      <c r="AV178" s="54" t="n"/>
      <c r="AW178" s="54" t="n"/>
      <c r="AX178" s="54" t="n"/>
      <c r="AY178" s="54" t="n"/>
      <c r="AZ178" s="54" t="n"/>
      <c r="BA178" s="54" t="n"/>
      <c r="BB178" s="54" t="n"/>
      <c r="BC178" s="54" t="n"/>
      <c r="BD178" s="54" t="n"/>
      <c r="BE178" s="54" t="n"/>
      <c r="BF178" s="54" t="n"/>
      <c r="BG178" s="54" t="n"/>
      <c r="BH178" s="54" t="n"/>
      <c r="BI178" s="54" t="n"/>
      <c r="BJ178" s="54" t="n"/>
      <c r="BK178" s="54" t="n"/>
      <c r="BL178" s="54" t="n"/>
      <c r="BM178" s="54" t="n"/>
      <c r="BN178" s="54" t="n"/>
      <c r="BO178" s="54" t="n"/>
      <c r="BP178" s="54" t="n"/>
      <c r="BQ178" s="54" t="n"/>
      <c r="BR178" s="54" t="n"/>
      <c r="BS178" s="54" t="n"/>
      <c r="BT178" s="54" t="n"/>
      <c r="BU178" s="54" t="n"/>
    </row>
    <row r="179">
      <c r="AU179" s="54" t="n"/>
      <c r="AV179" s="54" t="n"/>
      <c r="AW179" s="54" t="n"/>
      <c r="AX179" s="54" t="n"/>
      <c r="AY179" s="54" t="n"/>
      <c r="AZ179" s="54" t="n"/>
      <c r="BA179" s="54" t="n"/>
      <c r="BB179" s="54" t="n"/>
      <c r="BC179" s="54" t="n"/>
      <c r="BD179" s="54" t="n"/>
      <c r="BE179" s="54" t="n"/>
      <c r="BF179" s="54" t="n"/>
      <c r="BG179" s="54" t="n"/>
      <c r="BH179" s="54" t="n"/>
      <c r="BI179" s="54" t="n"/>
      <c r="BJ179" s="54" t="n"/>
      <c r="BK179" s="54" t="n"/>
      <c r="BL179" s="54" t="n"/>
      <c r="BM179" s="54" t="n"/>
      <c r="BN179" s="54" t="n"/>
      <c r="BO179" s="54" t="n"/>
      <c r="BP179" s="54" t="n"/>
      <c r="BQ179" s="54" t="n"/>
      <c r="BR179" s="54" t="n"/>
      <c r="BS179" s="54" t="n"/>
      <c r="BT179" s="54" t="n"/>
      <c r="BU179" s="54" t="n"/>
    </row>
    <row r="180">
      <c r="AU180" s="54" t="n"/>
      <c r="AV180" s="54" t="n"/>
      <c r="AW180" s="54" t="n"/>
      <c r="AX180" s="54" t="n"/>
      <c r="AY180" s="54" t="n"/>
      <c r="AZ180" s="54" t="n"/>
      <c r="BA180" s="54" t="n"/>
      <c r="BB180" s="54" t="n"/>
      <c r="BC180" s="54" t="n"/>
      <c r="BD180" s="54" t="n"/>
      <c r="BE180" s="54" t="n"/>
      <c r="BF180" s="54" t="n"/>
      <c r="BG180" s="54" t="n"/>
      <c r="BH180" s="54" t="n"/>
      <c r="BI180" s="54" t="n"/>
      <c r="BJ180" s="54" t="n"/>
      <c r="BK180" s="54" t="n"/>
      <c r="BL180" s="54" t="n"/>
      <c r="BM180" s="54" t="n"/>
      <c r="BN180" s="54" t="n"/>
      <c r="BO180" s="54" t="n"/>
      <c r="BP180" s="54" t="n"/>
      <c r="BQ180" s="54" t="n"/>
      <c r="BR180" s="54" t="n"/>
      <c r="BS180" s="54" t="n"/>
      <c r="BT180" s="54" t="n"/>
      <c r="BU180" s="54" t="n"/>
    </row>
    <row r="181">
      <c r="AU181" s="54" t="n"/>
      <c r="AV181" s="54" t="n"/>
      <c r="AW181" s="54" t="n"/>
      <c r="AX181" s="54" t="n"/>
      <c r="AY181" s="54" t="n"/>
      <c r="AZ181" s="54" t="n"/>
      <c r="BA181" s="54" t="n"/>
      <c r="BB181" s="54" t="n"/>
      <c r="BC181" s="54" t="n"/>
      <c r="BD181" s="54" t="n"/>
      <c r="BE181" s="54" t="n"/>
      <c r="BF181" s="54" t="n"/>
      <c r="BG181" s="54" t="n"/>
      <c r="BH181" s="54" t="n"/>
      <c r="BI181" s="54" t="n"/>
      <c r="BJ181" s="54" t="n"/>
      <c r="BK181" s="54" t="n"/>
      <c r="BL181" s="54" t="n"/>
      <c r="BM181" s="54" t="n"/>
      <c r="BN181" s="54" t="n"/>
      <c r="BO181" s="54" t="n"/>
      <c r="BP181" s="54" t="n"/>
      <c r="BQ181" s="54" t="n"/>
      <c r="BR181" s="54" t="n"/>
      <c r="BS181" s="54" t="n"/>
      <c r="BT181" s="54" t="n"/>
      <c r="BU181" s="54" t="n"/>
    </row>
    <row r="182">
      <c r="AU182" s="54" t="n"/>
      <c r="AV182" s="54" t="n"/>
      <c r="AW182" s="54" t="n"/>
      <c r="AX182" s="54" t="n"/>
      <c r="AY182" s="54" t="n"/>
      <c r="AZ182" s="54" t="n"/>
      <c r="BA182" s="54" t="n"/>
      <c r="BB182" s="54" t="n"/>
      <c r="BC182" s="54" t="n"/>
      <c r="BD182" s="54" t="n"/>
      <c r="BE182" s="54" t="n"/>
      <c r="BF182" s="54" t="n"/>
      <c r="BG182" s="54" t="n"/>
      <c r="BH182" s="54" t="n"/>
      <c r="BI182" s="54" t="n"/>
      <c r="BJ182" s="54" t="n"/>
      <c r="BK182" s="54" t="n"/>
      <c r="BL182" s="54" t="n"/>
      <c r="BM182" s="54" t="n"/>
      <c r="BN182" s="54" t="n"/>
      <c r="BO182" s="54" t="n"/>
      <c r="BP182" s="54" t="n"/>
      <c r="BQ182" s="54" t="n"/>
      <c r="BR182" s="54" t="n"/>
      <c r="BS182" s="54" t="n"/>
      <c r="BT182" s="54" t="n"/>
      <c r="BU182" s="54" t="n"/>
    </row>
    <row r="183">
      <c r="AU183" s="54" t="n"/>
      <c r="AV183" s="54" t="n"/>
      <c r="AW183" s="54" t="n"/>
      <c r="AX183" s="54" t="n"/>
      <c r="AY183" s="54" t="n"/>
      <c r="AZ183" s="54" t="n"/>
      <c r="BA183" s="54" t="n"/>
      <c r="BB183" s="54" t="n"/>
      <c r="BC183" s="54" t="n"/>
      <c r="BD183" s="54" t="n"/>
      <c r="BE183" s="54" t="n"/>
      <c r="BF183" s="54" t="n"/>
      <c r="BG183" s="54" t="n"/>
      <c r="BH183" s="54" t="n"/>
      <c r="BI183" s="54" t="n"/>
      <c r="BJ183" s="54" t="n"/>
      <c r="BK183" s="54" t="n"/>
      <c r="BL183" s="54" t="n"/>
      <c r="BM183" s="54" t="n"/>
      <c r="BN183" s="54" t="n"/>
      <c r="BO183" s="54" t="n"/>
      <c r="BP183" s="54" t="n"/>
      <c r="BQ183" s="54" t="n"/>
      <c r="BR183" s="54" t="n"/>
      <c r="BS183" s="54" t="n"/>
      <c r="BT183" s="54" t="n"/>
      <c r="BU183" s="54" t="n"/>
    </row>
    <row r="184">
      <c r="AU184" s="54" t="n"/>
      <c r="AV184" s="54" t="n"/>
      <c r="AW184" s="54" t="n"/>
      <c r="AX184" s="54" t="n"/>
      <c r="AY184" s="54" t="n"/>
      <c r="AZ184" s="54" t="n"/>
      <c r="BA184" s="54" t="n"/>
      <c r="BB184" s="54" t="n"/>
      <c r="BC184" s="54" t="n"/>
      <c r="BD184" s="54" t="n"/>
      <c r="BE184" s="54" t="n"/>
      <c r="BF184" s="54" t="n"/>
      <c r="BG184" s="54" t="n"/>
      <c r="BH184" s="54" t="n"/>
      <c r="BI184" s="54" t="n"/>
      <c r="BJ184" s="54" t="n"/>
      <c r="BK184" s="54" t="n"/>
      <c r="BL184" s="54" t="n"/>
      <c r="BM184" s="54" t="n"/>
      <c r="BN184" s="54" t="n"/>
      <c r="BO184" s="54" t="n"/>
      <c r="BP184" s="54" t="n"/>
      <c r="BQ184" s="54" t="n"/>
      <c r="BR184" s="54" t="n"/>
      <c r="BS184" s="54" t="n"/>
      <c r="BT184" s="54" t="n"/>
      <c r="BU184" s="54" t="n"/>
    </row>
    <row r="185">
      <c r="AU185" s="54" t="n"/>
      <c r="AV185" s="54" t="n"/>
      <c r="AW185" s="54" t="n"/>
      <c r="AX185" s="54" t="n"/>
      <c r="AY185" s="54" t="n"/>
      <c r="AZ185" s="54" t="n"/>
      <c r="BA185" s="54" t="n"/>
      <c r="BB185" s="54" t="n"/>
      <c r="BC185" s="54" t="n"/>
      <c r="BD185" s="54" t="n"/>
      <c r="BE185" s="54" t="n"/>
      <c r="BF185" s="54" t="n"/>
      <c r="BG185" s="54" t="n"/>
      <c r="BH185" s="54" t="n"/>
      <c r="BI185" s="54" t="n"/>
      <c r="BJ185" s="54" t="n"/>
      <c r="BK185" s="54" t="n"/>
      <c r="BL185" s="54" t="n"/>
      <c r="BM185" s="54" t="n"/>
      <c r="BN185" s="54" t="n"/>
      <c r="BO185" s="54" t="n"/>
      <c r="BP185" s="54" t="n"/>
      <c r="BQ185" s="54" t="n"/>
      <c r="BR185" s="54" t="n"/>
      <c r="BS185" s="54" t="n"/>
      <c r="BT185" s="54" t="n"/>
      <c r="BU185" s="54" t="n"/>
    </row>
    <row r="186">
      <c r="AU186" s="54" t="n"/>
      <c r="AV186" s="54" t="n"/>
      <c r="AW186" s="54" t="n"/>
      <c r="AX186" s="54" t="n"/>
      <c r="AY186" s="54" t="n"/>
      <c r="AZ186" s="54" t="n"/>
      <c r="BA186" s="54" t="n"/>
      <c r="BB186" s="54" t="n"/>
      <c r="BC186" s="54" t="n"/>
      <c r="BD186" s="54" t="n"/>
      <c r="BE186" s="54" t="n"/>
      <c r="BF186" s="54" t="n"/>
      <c r="BG186" s="54" t="n"/>
      <c r="BH186" s="54" t="n"/>
      <c r="BI186" s="54" t="n"/>
      <c r="BJ186" s="54" t="n"/>
      <c r="BK186" s="54" t="n"/>
      <c r="BL186" s="54" t="n"/>
      <c r="BM186" s="54" t="n"/>
      <c r="BN186" s="54" t="n"/>
      <c r="BO186" s="54" t="n"/>
      <c r="BP186" s="54" t="n"/>
      <c r="BQ186" s="54" t="n"/>
      <c r="BR186" s="54" t="n"/>
      <c r="BS186" s="54" t="n"/>
      <c r="BT186" s="54" t="n"/>
      <c r="BU186" s="54" t="n"/>
    </row>
    <row r="187">
      <c r="AU187" s="54" t="n"/>
      <c r="AV187" s="54" t="n"/>
      <c r="AW187" s="54" t="n"/>
      <c r="AX187" s="54" t="n"/>
      <c r="AY187" s="54" t="n"/>
      <c r="AZ187" s="54" t="n"/>
      <c r="BA187" s="54" t="n"/>
      <c r="BB187" s="54" t="n"/>
      <c r="BC187" s="54" t="n"/>
      <c r="BD187" s="54" t="n"/>
      <c r="BE187" s="54" t="n"/>
      <c r="BF187" s="54" t="n"/>
      <c r="BG187" s="54" t="n"/>
      <c r="BH187" s="54" t="n"/>
      <c r="BI187" s="54" t="n"/>
      <c r="BJ187" s="54" t="n"/>
      <c r="BK187" s="54" t="n"/>
      <c r="BL187" s="54" t="n"/>
      <c r="BM187" s="54" t="n"/>
      <c r="BN187" s="54" t="n"/>
      <c r="BO187" s="54" t="n"/>
      <c r="BP187" s="54" t="n"/>
      <c r="BQ187" s="54" t="n"/>
      <c r="BR187" s="54" t="n"/>
      <c r="BS187" s="54" t="n"/>
      <c r="BT187" s="54" t="n"/>
      <c r="BU187" s="54" t="n"/>
    </row>
    <row r="188">
      <c r="AU188" s="54" t="n"/>
      <c r="AV188" s="54" t="n"/>
      <c r="AW188" s="54" t="n"/>
      <c r="AX188" s="54" t="n"/>
      <c r="AY188" s="54" t="n"/>
      <c r="AZ188" s="54" t="n"/>
      <c r="BA188" s="54" t="n"/>
      <c r="BB188" s="54" t="n"/>
      <c r="BC188" s="54" t="n"/>
      <c r="BD188" s="54" t="n"/>
      <c r="BE188" s="54" t="n"/>
      <c r="BF188" s="54" t="n"/>
      <c r="BG188" s="54" t="n"/>
      <c r="BH188" s="54" t="n"/>
      <c r="BI188" s="54" t="n"/>
      <c r="BJ188" s="54" t="n"/>
      <c r="BK188" s="54" t="n"/>
      <c r="BL188" s="54" t="n"/>
      <c r="BM188" s="54" t="n"/>
      <c r="BN188" s="54" t="n"/>
      <c r="BO188" s="54" t="n"/>
      <c r="BP188" s="54" t="n"/>
      <c r="BQ188" s="54" t="n"/>
      <c r="BR188" s="54" t="n"/>
      <c r="BS188" s="54" t="n"/>
      <c r="BT188" s="54" t="n"/>
      <c r="BU188" s="54" t="n"/>
    </row>
    <row r="189">
      <c r="AU189" s="54" t="n"/>
      <c r="AV189" s="54" t="n"/>
      <c r="AW189" s="54" t="n"/>
      <c r="AX189" s="54" t="n"/>
      <c r="AY189" s="54" t="n"/>
      <c r="AZ189" s="54" t="n"/>
      <c r="BA189" s="54" t="n"/>
      <c r="BB189" s="54" t="n"/>
      <c r="BC189" s="54" t="n"/>
      <c r="BD189" s="54" t="n"/>
      <c r="BE189" s="54" t="n"/>
      <c r="BF189" s="54" t="n"/>
      <c r="BG189" s="54" t="n"/>
      <c r="BH189" s="54" t="n"/>
      <c r="BI189" s="54" t="n"/>
      <c r="BJ189" s="54" t="n"/>
      <c r="BK189" s="54" t="n"/>
      <c r="BL189" s="54" t="n"/>
      <c r="BM189" s="54" t="n"/>
      <c r="BN189" s="54" t="n"/>
      <c r="BO189" s="54" t="n"/>
      <c r="BP189" s="54" t="n"/>
      <c r="BQ189" s="54" t="n"/>
      <c r="BR189" s="54" t="n"/>
      <c r="BS189" s="54" t="n"/>
      <c r="BT189" s="54" t="n"/>
      <c r="BU189" s="54" t="n"/>
    </row>
    <row r="190">
      <c r="AU190" s="54" t="n"/>
      <c r="AV190" s="54" t="n"/>
      <c r="AW190" s="54" t="n"/>
      <c r="AX190" s="54" t="n"/>
      <c r="AY190" s="54" t="n"/>
      <c r="AZ190" s="54" t="n"/>
      <c r="BA190" s="54" t="n"/>
      <c r="BB190" s="54" t="n"/>
      <c r="BC190" s="54" t="n"/>
      <c r="BD190" s="54" t="n"/>
      <c r="BE190" s="54" t="n"/>
      <c r="BF190" s="54" t="n"/>
      <c r="BG190" s="54" t="n"/>
      <c r="BH190" s="54" t="n"/>
      <c r="BI190" s="54" t="n"/>
      <c r="BJ190" s="54" t="n"/>
      <c r="BK190" s="54" t="n"/>
      <c r="BL190" s="54" t="n"/>
      <c r="BM190" s="54" t="n"/>
      <c r="BN190" s="54" t="n"/>
      <c r="BO190" s="54" t="n"/>
      <c r="BP190" s="54" t="n"/>
      <c r="BQ190" s="54" t="n"/>
      <c r="BR190" s="54" t="n"/>
      <c r="BS190" s="54" t="n"/>
      <c r="BT190" s="54" t="n"/>
      <c r="BU190" s="54" t="n"/>
    </row>
    <row r="191">
      <c r="AU191" s="54" t="n"/>
      <c r="AV191" s="54" t="n"/>
      <c r="AW191" s="54" t="n"/>
      <c r="AX191" s="54" t="n"/>
      <c r="AY191" s="54" t="n"/>
      <c r="AZ191" s="54" t="n"/>
      <c r="BA191" s="54" t="n"/>
      <c r="BB191" s="54" t="n"/>
      <c r="BC191" s="54" t="n"/>
      <c r="BD191" s="54" t="n"/>
      <c r="BE191" s="54" t="n"/>
      <c r="BF191" s="54" t="n"/>
      <c r="BG191" s="54" t="n"/>
      <c r="BH191" s="54" t="n"/>
      <c r="BI191" s="54" t="n"/>
      <c r="BJ191" s="54" t="n"/>
      <c r="BK191" s="54" t="n"/>
      <c r="BL191" s="54" t="n"/>
      <c r="BM191" s="54" t="n"/>
      <c r="BN191" s="54" t="n"/>
      <c r="BO191" s="54" t="n"/>
      <c r="BP191" s="54" t="n"/>
      <c r="BQ191" s="54" t="n"/>
      <c r="BR191" s="54" t="n"/>
      <c r="BS191" s="54" t="n"/>
      <c r="BT191" s="54" t="n"/>
      <c r="BU191" s="54" t="n"/>
    </row>
    <row r="192">
      <c r="AU192" s="54" t="n"/>
      <c r="AV192" s="54" t="n"/>
      <c r="AW192" s="54" t="n"/>
      <c r="AX192" s="54" t="n"/>
      <c r="AY192" s="54" t="n"/>
      <c r="AZ192" s="54" t="n"/>
      <c r="BA192" s="54" t="n"/>
      <c r="BB192" s="54" t="n"/>
      <c r="BC192" s="54" t="n"/>
      <c r="BD192" s="54" t="n"/>
      <c r="BE192" s="54" t="n"/>
      <c r="BF192" s="54" t="n"/>
      <c r="BG192" s="54" t="n"/>
      <c r="BH192" s="54" t="n"/>
      <c r="BI192" s="54" t="n"/>
      <c r="BJ192" s="54" t="n"/>
      <c r="BK192" s="54" t="n"/>
      <c r="BL192" s="54" t="n"/>
      <c r="BM192" s="54" t="n"/>
      <c r="BN192" s="54" t="n"/>
      <c r="BO192" s="54" t="n"/>
      <c r="BP192" s="54" t="n"/>
      <c r="BQ192" s="54" t="n"/>
      <c r="BR192" s="54" t="n"/>
      <c r="BS192" s="54" t="n"/>
      <c r="BT192" s="54" t="n"/>
      <c r="BU192" s="54" t="n"/>
    </row>
    <row r="193">
      <c r="AU193" s="54" t="n"/>
      <c r="AV193" s="54" t="n"/>
      <c r="AW193" s="54" t="n"/>
      <c r="AX193" s="54" t="n"/>
      <c r="AY193" s="54" t="n"/>
      <c r="AZ193" s="54" t="n"/>
      <c r="BA193" s="54" t="n"/>
      <c r="BB193" s="54" t="n"/>
      <c r="BC193" s="54" t="n"/>
      <c r="BD193" s="54" t="n"/>
      <c r="BE193" s="54" t="n"/>
      <c r="BF193" s="54" t="n"/>
      <c r="BG193" s="54" t="n"/>
      <c r="BH193" s="54" t="n"/>
      <c r="BI193" s="54" t="n"/>
      <c r="BJ193" s="54" t="n"/>
      <c r="BK193" s="54" t="n"/>
      <c r="BL193" s="54" t="n"/>
      <c r="BM193" s="54" t="n"/>
      <c r="BN193" s="54" t="n"/>
      <c r="BO193" s="54" t="n"/>
      <c r="BP193" s="54" t="n"/>
      <c r="BQ193" s="54" t="n"/>
      <c r="BR193" s="54" t="n"/>
      <c r="BS193" s="54" t="n"/>
      <c r="BT193" s="54" t="n"/>
      <c r="BU193" s="54" t="n"/>
    </row>
    <row r="194">
      <c r="AU194" s="54" t="n"/>
      <c r="AV194" s="54" t="n"/>
      <c r="AW194" s="54" t="n"/>
      <c r="AX194" s="54" t="n"/>
      <c r="AY194" s="54" t="n"/>
      <c r="AZ194" s="54" t="n"/>
      <c r="BA194" s="54" t="n"/>
      <c r="BB194" s="54" t="n"/>
      <c r="BC194" s="54" t="n"/>
      <c r="BD194" s="54" t="n"/>
      <c r="BE194" s="54" t="n"/>
      <c r="BF194" s="54" t="n"/>
      <c r="BG194" s="54" t="n"/>
      <c r="BH194" s="54" t="n"/>
      <c r="BI194" s="54" t="n"/>
      <c r="BJ194" s="54" t="n"/>
      <c r="BK194" s="54" t="n"/>
      <c r="BL194" s="54" t="n"/>
      <c r="BM194" s="54" t="n"/>
      <c r="BN194" s="54" t="n"/>
      <c r="BO194" s="54" t="n"/>
      <c r="BP194" s="54" t="n"/>
      <c r="BQ194" s="54" t="n"/>
      <c r="BR194" s="54" t="n"/>
      <c r="BS194" s="54" t="n"/>
      <c r="BT194" s="54" t="n"/>
      <c r="BU194" s="54" t="n"/>
    </row>
    <row r="195">
      <c r="AU195" s="54" t="n"/>
      <c r="AV195" s="54" t="n"/>
      <c r="AW195" s="54" t="n"/>
      <c r="AX195" s="54" t="n"/>
      <c r="AY195" s="54" t="n"/>
      <c r="AZ195" s="54" t="n"/>
      <c r="BA195" s="54" t="n"/>
      <c r="BB195" s="54" t="n"/>
      <c r="BC195" s="54" t="n"/>
      <c r="BD195" s="54" t="n"/>
      <c r="BE195" s="54" t="n"/>
      <c r="BF195" s="54" t="n"/>
      <c r="BG195" s="54" t="n"/>
      <c r="BH195" s="54" t="n"/>
      <c r="BI195" s="54" t="n"/>
      <c r="BJ195" s="54" t="n"/>
      <c r="BK195" s="54" t="n"/>
      <c r="BL195" s="54" t="n"/>
      <c r="BM195" s="54" t="n"/>
      <c r="BN195" s="54" t="n"/>
      <c r="BO195" s="54" t="n"/>
      <c r="BP195" s="54" t="n"/>
      <c r="BQ195" s="54" t="n"/>
      <c r="BR195" s="54" t="n"/>
      <c r="BS195" s="54" t="n"/>
      <c r="BT195" s="54" t="n"/>
      <c r="BU195" s="54" t="n"/>
    </row>
    <row r="196">
      <c r="AU196" s="54" t="n"/>
      <c r="AV196" s="54" t="n"/>
      <c r="AW196" s="54" t="n"/>
      <c r="AX196" s="54" t="n"/>
      <c r="AY196" s="54" t="n"/>
      <c r="AZ196" s="54" t="n"/>
      <c r="BA196" s="54" t="n"/>
      <c r="BB196" s="54" t="n"/>
      <c r="BC196" s="54" t="n"/>
      <c r="BD196" s="54" t="n"/>
      <c r="BE196" s="54" t="n"/>
      <c r="BF196" s="54" t="n"/>
      <c r="BG196" s="54" t="n"/>
      <c r="BH196" s="54" t="n"/>
      <c r="BI196" s="54" t="n"/>
      <c r="BJ196" s="54" t="n"/>
      <c r="BK196" s="54" t="n"/>
      <c r="BL196" s="54" t="n"/>
      <c r="BM196" s="54" t="n"/>
      <c r="BN196" s="54" t="n"/>
      <c r="BO196" s="54" t="n"/>
      <c r="BP196" s="54" t="n"/>
      <c r="BQ196" s="54" t="n"/>
      <c r="BR196" s="54" t="n"/>
      <c r="BS196" s="54" t="n"/>
      <c r="BT196" s="54" t="n"/>
      <c r="BU196" s="54" t="n"/>
    </row>
    <row r="197">
      <c r="AU197" s="54" t="n"/>
      <c r="AV197" s="54" t="n"/>
      <c r="AW197" s="54" t="n"/>
      <c r="AX197" s="54" t="n"/>
      <c r="AY197" s="54" t="n"/>
      <c r="AZ197" s="54" t="n"/>
      <c r="BA197" s="54" t="n"/>
      <c r="BB197" s="54" t="n"/>
      <c r="BC197" s="54" t="n"/>
      <c r="BD197" s="54" t="n"/>
      <c r="BE197" s="54" t="n"/>
      <c r="BF197" s="54" t="n"/>
      <c r="BG197" s="54" t="n"/>
      <c r="BH197" s="54" t="n"/>
      <c r="BI197" s="54" t="n"/>
      <c r="BJ197" s="54" t="n"/>
      <c r="BK197" s="54" t="n"/>
      <c r="BL197" s="54" t="n"/>
      <c r="BM197" s="54" t="n"/>
      <c r="BN197" s="54" t="n"/>
      <c r="BO197" s="54" t="n"/>
      <c r="BP197" s="54" t="n"/>
      <c r="BQ197" s="54" t="n"/>
      <c r="BR197" s="54" t="n"/>
      <c r="BS197" s="54" t="n"/>
      <c r="BT197" s="54" t="n"/>
      <c r="BU197" s="54" t="n"/>
    </row>
    <row r="198">
      <c r="AU198" s="54" t="n"/>
      <c r="AV198" s="54" t="n"/>
      <c r="AW198" s="54" t="n"/>
      <c r="AX198" s="54" t="n"/>
      <c r="AY198" s="54" t="n"/>
      <c r="AZ198" s="54" t="n"/>
      <c r="BA198" s="54" t="n"/>
      <c r="BB198" s="54" t="n"/>
      <c r="BC198" s="54" t="n"/>
      <c r="BD198" s="54" t="n"/>
      <c r="BE198" s="54" t="n"/>
      <c r="BF198" s="54" t="n"/>
      <c r="BG198" s="54" t="n"/>
      <c r="BH198" s="54" t="n"/>
      <c r="BI198" s="54" t="n"/>
      <c r="BJ198" s="54" t="n"/>
      <c r="BK198" s="54" t="n"/>
      <c r="BL198" s="54" t="n"/>
      <c r="BM198" s="54" t="n"/>
      <c r="BN198" s="54" t="n"/>
      <c r="BO198" s="54" t="n"/>
      <c r="BP198" s="54" t="n"/>
      <c r="BQ198" s="54" t="n"/>
      <c r="BR198" s="54" t="n"/>
      <c r="BS198" s="54" t="n"/>
      <c r="BT198" s="54" t="n"/>
      <c r="BU198" s="54" t="n"/>
    </row>
    <row r="199">
      <c r="AU199" s="54" t="n"/>
      <c r="AV199" s="54" t="n"/>
      <c r="AW199" s="54" t="n"/>
      <c r="AX199" s="54" t="n"/>
      <c r="AY199" s="54" t="n"/>
      <c r="AZ199" s="54" t="n"/>
      <c r="BA199" s="54" t="n"/>
      <c r="BB199" s="54" t="n"/>
      <c r="BC199" s="54" t="n"/>
      <c r="BD199" s="54" t="n"/>
      <c r="BE199" s="54" t="n"/>
      <c r="BF199" s="54" t="n"/>
      <c r="BG199" s="54" t="n"/>
      <c r="BH199" s="54" t="n"/>
      <c r="BI199" s="54" t="n"/>
      <c r="BJ199" s="54" t="n"/>
      <c r="BK199" s="54" t="n"/>
      <c r="BL199" s="54" t="n"/>
      <c r="BM199" s="54" t="n"/>
      <c r="BN199" s="54" t="n"/>
      <c r="BO199" s="54" t="n"/>
      <c r="BP199" s="54" t="n"/>
      <c r="BQ199" s="54" t="n"/>
      <c r="BR199" s="54" t="n"/>
      <c r="BS199" s="54" t="n"/>
      <c r="BT199" s="54" t="n"/>
      <c r="BU199" s="54" t="n"/>
    </row>
    <row r="200">
      <c r="AU200" s="54" t="n"/>
      <c r="AV200" s="54" t="n"/>
      <c r="AW200" s="54" t="n"/>
      <c r="AX200" s="54" t="n"/>
      <c r="AY200" s="54" t="n"/>
      <c r="AZ200" s="54" t="n"/>
      <c r="BA200" s="54" t="n"/>
      <c r="BB200" s="54" t="n"/>
      <c r="BC200" s="54" t="n"/>
      <c r="BD200" s="54" t="n"/>
      <c r="BE200" s="54" t="n"/>
      <c r="BF200" s="54" t="n"/>
      <c r="BG200" s="54" t="n"/>
      <c r="BH200" s="54" t="n"/>
      <c r="BI200" s="54" t="n"/>
      <c r="BJ200" s="54" t="n"/>
      <c r="BK200" s="54" t="n"/>
      <c r="BL200" s="54" t="n"/>
      <c r="BM200" s="54" t="n"/>
      <c r="BN200" s="54" t="n"/>
      <c r="BO200" s="54" t="n"/>
      <c r="BP200" s="54" t="n"/>
      <c r="BQ200" s="54" t="n"/>
      <c r="BR200" s="54" t="n"/>
      <c r="BS200" s="54" t="n"/>
      <c r="BT200" s="54" t="n"/>
      <c r="BU200" s="54" t="n"/>
    </row>
    <row r="201">
      <c r="AU201" s="54" t="n"/>
      <c r="AV201" s="54" t="n"/>
      <c r="AW201" s="54" t="n"/>
      <c r="AX201" s="54" t="n"/>
      <c r="AY201" s="54" t="n"/>
      <c r="AZ201" s="54" t="n"/>
      <c r="BA201" s="54" t="n"/>
      <c r="BB201" s="54" t="n"/>
      <c r="BC201" s="54" t="n"/>
      <c r="BD201" s="54" t="n"/>
      <c r="BE201" s="54" t="n"/>
      <c r="BF201" s="54" t="n"/>
      <c r="BG201" s="54" t="n"/>
      <c r="BH201" s="54" t="n"/>
      <c r="BI201" s="54" t="n"/>
      <c r="BJ201" s="54" t="n"/>
      <c r="BK201" s="54" t="n"/>
      <c r="BL201" s="54" t="n"/>
      <c r="BM201" s="54" t="n"/>
      <c r="BN201" s="54" t="n"/>
      <c r="BO201" s="54" t="n"/>
      <c r="BP201" s="54" t="n"/>
      <c r="BQ201" s="54" t="n"/>
      <c r="BR201" s="54" t="n"/>
      <c r="BS201" s="54" t="n"/>
      <c r="BT201" s="54" t="n"/>
      <c r="BU201" s="54" t="n"/>
    </row>
    <row r="202">
      <c r="AU202" s="54" t="n"/>
      <c r="AV202" s="54" t="n"/>
      <c r="AW202" s="54" t="n"/>
      <c r="AX202" s="54" t="n"/>
      <c r="AY202" s="54" t="n"/>
      <c r="AZ202" s="54" t="n"/>
      <c r="BA202" s="54" t="n"/>
      <c r="BB202" s="54" t="n"/>
      <c r="BC202" s="54" t="n"/>
      <c r="BD202" s="54" t="n"/>
      <c r="BE202" s="54" t="n"/>
      <c r="BF202" s="54" t="n"/>
      <c r="BG202" s="54" t="n"/>
      <c r="BH202" s="54" t="n"/>
      <c r="BI202" s="54" t="n"/>
      <c r="BJ202" s="54" t="n"/>
      <c r="BK202" s="54" t="n"/>
      <c r="BL202" s="54" t="n"/>
      <c r="BM202" s="54" t="n"/>
      <c r="BN202" s="54" t="n"/>
      <c r="BO202" s="54" t="n"/>
      <c r="BP202" s="54" t="n"/>
      <c r="BQ202" s="54" t="n"/>
      <c r="BR202" s="54" t="n"/>
      <c r="BS202" s="54" t="n"/>
      <c r="BT202" s="54" t="n"/>
      <c r="BU202" s="54" t="n"/>
    </row>
    <row r="203">
      <c r="AU203" s="54" t="n"/>
      <c r="AV203" s="54" t="n"/>
      <c r="AW203" s="54" t="n"/>
      <c r="AX203" s="54" t="n"/>
      <c r="AY203" s="54" t="n"/>
      <c r="AZ203" s="54" t="n"/>
      <c r="BA203" s="54" t="n"/>
      <c r="BB203" s="54" t="n"/>
      <c r="BC203" s="54" t="n"/>
      <c r="BD203" s="54" t="n"/>
      <c r="BE203" s="54" t="n"/>
      <c r="BF203" s="54" t="n"/>
      <c r="BG203" s="54" t="n"/>
      <c r="BH203" s="54" t="n"/>
      <c r="BI203" s="54" t="n"/>
      <c r="BJ203" s="54" t="n"/>
      <c r="BK203" s="54" t="n"/>
      <c r="BL203" s="54" t="n"/>
      <c r="BM203" s="54" t="n"/>
      <c r="BN203" s="54" t="n"/>
      <c r="BO203" s="54" t="n"/>
      <c r="BP203" s="54" t="n"/>
      <c r="BQ203" s="54" t="n"/>
      <c r="BR203" s="54" t="n"/>
      <c r="BS203" s="54" t="n"/>
      <c r="BT203" s="54" t="n"/>
      <c r="BU203" s="54" t="n"/>
    </row>
    <row r="204">
      <c r="AU204" s="54" t="n"/>
      <c r="AV204" s="54" t="n"/>
      <c r="AW204" s="54" t="n"/>
      <c r="AX204" s="54" t="n"/>
      <c r="AY204" s="54" t="n"/>
      <c r="AZ204" s="54" t="n"/>
      <c r="BA204" s="54" t="n"/>
      <c r="BB204" s="54" t="n"/>
      <c r="BC204" s="54" t="n"/>
      <c r="BD204" s="54" t="n"/>
      <c r="BE204" s="54" t="n"/>
      <c r="BF204" s="54" t="n"/>
      <c r="BG204" s="54" t="n"/>
      <c r="BH204" s="54" t="n"/>
      <c r="BI204" s="54" t="n"/>
      <c r="BJ204" s="54" t="n"/>
      <c r="BK204" s="54" t="n"/>
      <c r="BL204" s="54" t="n"/>
      <c r="BM204" s="54" t="n"/>
      <c r="BN204" s="54" t="n"/>
      <c r="BO204" s="54" t="n"/>
      <c r="BP204" s="54" t="n"/>
      <c r="BQ204" s="54" t="n"/>
      <c r="BR204" s="54" t="n"/>
      <c r="BS204" s="54" t="n"/>
      <c r="BT204" s="54" t="n"/>
      <c r="BU204" s="54" t="n"/>
    </row>
    <row r="205">
      <c r="AU205" s="54" t="n"/>
      <c r="AV205" s="54" t="n"/>
      <c r="AW205" s="54" t="n"/>
      <c r="AX205" s="54" t="n"/>
      <c r="AY205" s="54" t="n"/>
      <c r="AZ205" s="54" t="n"/>
      <c r="BA205" s="54" t="n"/>
      <c r="BB205" s="54" t="n"/>
      <c r="BC205" s="54" t="n"/>
      <c r="BD205" s="54" t="n"/>
      <c r="BE205" s="54" t="n"/>
      <c r="BF205" s="54" t="n"/>
      <c r="BG205" s="54" t="n"/>
      <c r="BH205" s="54" t="n"/>
      <c r="BI205" s="54" t="n"/>
      <c r="BJ205" s="54" t="n"/>
      <c r="BK205" s="54" t="n"/>
      <c r="BL205" s="54" t="n"/>
      <c r="BM205" s="54" t="n"/>
      <c r="BN205" s="54" t="n"/>
      <c r="BO205" s="54" t="n"/>
      <c r="BP205" s="54" t="n"/>
      <c r="BQ205" s="54" t="n"/>
      <c r="BR205" s="54" t="n"/>
      <c r="BS205" s="54" t="n"/>
      <c r="BT205" s="54" t="n"/>
      <c r="BU205" s="54" t="n"/>
    </row>
    <row r="206">
      <c r="AU206" s="54" t="n"/>
      <c r="AV206" s="54" t="n"/>
      <c r="AW206" s="54" t="n"/>
      <c r="AX206" s="54" t="n"/>
      <c r="AY206" s="54" t="n"/>
      <c r="AZ206" s="54" t="n"/>
      <c r="BA206" s="54" t="n"/>
      <c r="BB206" s="54" t="n"/>
      <c r="BC206" s="54" t="n"/>
      <c r="BD206" s="54" t="n"/>
      <c r="BE206" s="54" t="n"/>
      <c r="BF206" s="54" t="n"/>
      <c r="BG206" s="54" t="n"/>
      <c r="BH206" s="54" t="n"/>
      <c r="BI206" s="54" t="n"/>
      <c r="BJ206" s="54" t="n"/>
      <c r="BK206" s="54" t="n"/>
      <c r="BL206" s="54" t="n"/>
      <c r="BM206" s="54" t="n"/>
      <c r="BN206" s="54" t="n"/>
      <c r="BO206" s="54" t="n"/>
      <c r="BP206" s="54" t="n"/>
      <c r="BQ206" s="54" t="n"/>
      <c r="BR206" s="54" t="n"/>
      <c r="BS206" s="54" t="n"/>
      <c r="BT206" s="54" t="n"/>
      <c r="BU206" s="54" t="n"/>
    </row>
    <row r="207">
      <c r="AU207" s="54" t="n"/>
      <c r="AV207" s="54" t="n"/>
      <c r="AW207" s="54" t="n"/>
      <c r="AX207" s="54" t="n"/>
      <c r="AY207" s="54" t="n"/>
      <c r="AZ207" s="54" t="n"/>
      <c r="BA207" s="54" t="n"/>
      <c r="BB207" s="54" t="n"/>
      <c r="BC207" s="54" t="n"/>
      <c r="BD207" s="54" t="n"/>
      <c r="BE207" s="54" t="n"/>
      <c r="BF207" s="54" t="n"/>
      <c r="BG207" s="54" t="n"/>
      <c r="BH207" s="54" t="n"/>
      <c r="BI207" s="54" t="n"/>
      <c r="BJ207" s="54" t="n"/>
      <c r="BK207" s="54" t="n"/>
      <c r="BL207" s="54" t="n"/>
      <c r="BM207" s="54" t="n"/>
      <c r="BN207" s="54" t="n"/>
      <c r="BO207" s="54" t="n"/>
      <c r="BP207" s="54" t="n"/>
      <c r="BQ207" s="54" t="n"/>
      <c r="BR207" s="54" t="n"/>
      <c r="BS207" s="54" t="n"/>
      <c r="BT207" s="54" t="n"/>
      <c r="BU207" s="54" t="n"/>
    </row>
    <row r="208">
      <c r="AU208" s="54" t="n"/>
      <c r="AV208" s="54" t="n"/>
      <c r="AW208" s="54" t="n"/>
      <c r="AX208" s="54" t="n"/>
      <c r="AY208" s="54" t="n"/>
      <c r="AZ208" s="54" t="n"/>
      <c r="BA208" s="54" t="n"/>
      <c r="BB208" s="54" t="n"/>
      <c r="BC208" s="54" t="n"/>
      <c r="BD208" s="54" t="n"/>
      <c r="BE208" s="54" t="n"/>
      <c r="BF208" s="54" t="n"/>
      <c r="BG208" s="54" t="n"/>
      <c r="BH208" s="54" t="n"/>
      <c r="BI208" s="54" t="n"/>
      <c r="BJ208" s="54" t="n"/>
      <c r="BK208" s="54" t="n"/>
      <c r="BL208" s="54" t="n"/>
      <c r="BM208" s="54" t="n"/>
      <c r="BN208" s="54" t="n"/>
      <c r="BO208" s="54" t="n"/>
      <c r="BP208" s="54" t="n"/>
      <c r="BQ208" s="54" t="n"/>
      <c r="BR208" s="54" t="n"/>
      <c r="BS208" s="54" t="n"/>
      <c r="BT208" s="54" t="n"/>
      <c r="BU208" s="54" t="n"/>
    </row>
    <row r="209">
      <c r="AU209" s="54" t="n"/>
      <c r="AV209" s="54" t="n"/>
      <c r="AW209" s="54" t="n"/>
      <c r="AX209" s="54" t="n"/>
      <c r="AY209" s="54" t="n"/>
      <c r="AZ209" s="54" t="n"/>
      <c r="BA209" s="54" t="n"/>
      <c r="BB209" s="54" t="n"/>
      <c r="BC209" s="54" t="n"/>
      <c r="BD209" s="54" t="n"/>
      <c r="BE209" s="54" t="n"/>
      <c r="BF209" s="54" t="n"/>
      <c r="BG209" s="54" t="n"/>
      <c r="BH209" s="54" t="n"/>
      <c r="BI209" s="54" t="n"/>
      <c r="BJ209" s="54" t="n"/>
      <c r="BK209" s="54" t="n"/>
      <c r="BL209" s="54" t="n"/>
      <c r="BM209" s="54" t="n"/>
      <c r="BN209" s="54" t="n"/>
      <c r="BO209" s="54" t="n"/>
      <c r="BP209" s="54" t="n"/>
      <c r="BQ209" s="54" t="n"/>
      <c r="BR209" s="54" t="n"/>
      <c r="BS209" s="54" t="n"/>
      <c r="BT209" s="54" t="n"/>
      <c r="BU209" s="54" t="n"/>
    </row>
    <row r="210">
      <c r="AU210" s="54" t="n"/>
      <c r="AV210" s="54" t="n"/>
      <c r="AW210" s="54" t="n"/>
      <c r="AX210" s="54" t="n"/>
      <c r="AY210" s="54" t="n"/>
      <c r="AZ210" s="54" t="n"/>
      <c r="BA210" s="54" t="n"/>
      <c r="BB210" s="54" t="n"/>
      <c r="BC210" s="54" t="n"/>
      <c r="BD210" s="54" t="n"/>
      <c r="BE210" s="54" t="n"/>
      <c r="BF210" s="54" t="n"/>
      <c r="BG210" s="54" t="n"/>
      <c r="BH210" s="54" t="n"/>
      <c r="BI210" s="54" t="n"/>
      <c r="BJ210" s="54" t="n"/>
      <c r="BK210" s="54" t="n"/>
      <c r="BL210" s="54" t="n"/>
      <c r="BM210" s="54" t="n"/>
      <c r="BN210" s="54" t="n"/>
      <c r="BO210" s="54" t="n"/>
      <c r="BP210" s="54" t="n"/>
      <c r="BQ210" s="54" t="n"/>
      <c r="BR210" s="54" t="n"/>
      <c r="BS210" s="54" t="n"/>
      <c r="BT210" s="54" t="n"/>
      <c r="BU210" s="54" t="n"/>
    </row>
    <row r="211">
      <c r="AU211" s="54" t="n"/>
      <c r="AV211" s="54" t="n"/>
      <c r="AW211" s="54" t="n"/>
      <c r="AX211" s="54" t="n"/>
      <c r="AY211" s="54" t="n"/>
      <c r="AZ211" s="54" t="n"/>
      <c r="BA211" s="54" t="n"/>
      <c r="BB211" s="54" t="n"/>
      <c r="BC211" s="54" t="n"/>
      <c r="BD211" s="54" t="n"/>
      <c r="BE211" s="54" t="n"/>
      <c r="BF211" s="54" t="n"/>
      <c r="BG211" s="54" t="n"/>
      <c r="BH211" s="54" t="n"/>
      <c r="BI211" s="54" t="n"/>
      <c r="BJ211" s="54" t="n"/>
      <c r="BK211" s="54" t="n"/>
      <c r="BL211" s="54" t="n"/>
      <c r="BM211" s="54" t="n"/>
      <c r="BN211" s="54" t="n"/>
      <c r="BO211" s="54" t="n"/>
      <c r="BP211" s="54" t="n"/>
      <c r="BQ211" s="54" t="n"/>
      <c r="BR211" s="54" t="n"/>
      <c r="BS211" s="54" t="n"/>
      <c r="BT211" s="54" t="n"/>
      <c r="BU211" s="54" t="n"/>
    </row>
    <row r="212">
      <c r="AU212" s="54" t="n"/>
      <c r="AV212" s="54" t="n"/>
      <c r="AW212" s="54" t="n"/>
      <c r="AX212" s="54" t="n"/>
      <c r="AY212" s="54" t="n"/>
      <c r="AZ212" s="54" t="n"/>
      <c r="BA212" s="54" t="n"/>
      <c r="BB212" s="54" t="n"/>
      <c r="BC212" s="54" t="n"/>
      <c r="BD212" s="54" t="n"/>
      <c r="BE212" s="54" t="n"/>
      <c r="BF212" s="54" t="n"/>
      <c r="BG212" s="54" t="n"/>
      <c r="BH212" s="54" t="n"/>
      <c r="BI212" s="54" t="n"/>
      <c r="BJ212" s="54" t="n"/>
      <c r="BK212" s="54" t="n"/>
      <c r="BL212" s="54" t="n"/>
      <c r="BM212" s="54" t="n"/>
      <c r="BN212" s="54" t="n"/>
      <c r="BO212" s="54" t="n"/>
      <c r="BP212" s="54" t="n"/>
      <c r="BQ212" s="54" t="n"/>
      <c r="BR212" s="54" t="n"/>
      <c r="BS212" s="54" t="n"/>
      <c r="BT212" s="54" t="n"/>
      <c r="BU212" s="54" t="n"/>
    </row>
    <row r="213">
      <c r="AU213" s="54" t="n"/>
      <c r="AV213" s="54" t="n"/>
      <c r="AW213" s="54" t="n"/>
      <c r="AX213" s="54" t="n"/>
      <c r="AY213" s="54" t="n"/>
      <c r="AZ213" s="54" t="n"/>
      <c r="BA213" s="54" t="n"/>
      <c r="BB213" s="54" t="n"/>
      <c r="BC213" s="54" t="n"/>
      <c r="BD213" s="54" t="n"/>
      <c r="BE213" s="54" t="n"/>
      <c r="BF213" s="54" t="n"/>
      <c r="BG213" s="54" t="n"/>
      <c r="BH213" s="54" t="n"/>
      <c r="BI213" s="54" t="n"/>
      <c r="BJ213" s="54" t="n"/>
      <c r="BK213" s="54" t="n"/>
      <c r="BL213" s="54" t="n"/>
      <c r="BM213" s="54" t="n"/>
      <c r="BN213" s="54" t="n"/>
      <c r="BO213" s="54" t="n"/>
      <c r="BP213" s="54" t="n"/>
      <c r="BQ213" s="54" t="n"/>
      <c r="BR213" s="54" t="n"/>
      <c r="BS213" s="54" t="n"/>
      <c r="BT213" s="54" t="n"/>
      <c r="BU213" s="54" t="n"/>
    </row>
    <row r="214">
      <c r="AU214" s="54" t="n"/>
      <c r="AV214" s="54" t="n"/>
      <c r="AW214" s="54" t="n"/>
      <c r="AX214" s="54" t="n"/>
      <c r="AY214" s="54" t="n"/>
      <c r="AZ214" s="54" t="n"/>
      <c r="BA214" s="54" t="n"/>
      <c r="BB214" s="54" t="n"/>
      <c r="BC214" s="54" t="n"/>
      <c r="BD214" s="54" t="n"/>
      <c r="BE214" s="54" t="n"/>
      <c r="BF214" s="54" t="n"/>
      <c r="BG214" s="54" t="n"/>
      <c r="BH214" s="54" t="n"/>
      <c r="BI214" s="54" t="n"/>
      <c r="BJ214" s="54" t="n"/>
      <c r="BK214" s="54" t="n"/>
      <c r="BL214" s="54" t="n"/>
      <c r="BM214" s="54" t="n"/>
      <c r="BN214" s="54" t="n"/>
      <c r="BO214" s="54" t="n"/>
      <c r="BP214" s="54" t="n"/>
      <c r="BQ214" s="54" t="n"/>
      <c r="BR214" s="54" t="n"/>
      <c r="BS214" s="54" t="n"/>
      <c r="BT214" s="54" t="n"/>
      <c r="BU214" s="54" t="n"/>
    </row>
    <row r="215">
      <c r="AU215" s="54" t="n"/>
      <c r="AV215" s="54" t="n"/>
      <c r="AW215" s="54" t="n"/>
      <c r="AX215" s="54" t="n"/>
      <c r="AY215" s="54" t="n"/>
      <c r="AZ215" s="54" t="n"/>
      <c r="BA215" s="54" t="n"/>
      <c r="BB215" s="54" t="n"/>
      <c r="BC215" s="54" t="n"/>
      <c r="BD215" s="54" t="n"/>
      <c r="BE215" s="54" t="n"/>
      <c r="BF215" s="54" t="n"/>
      <c r="BG215" s="54" t="n"/>
      <c r="BH215" s="54" t="n"/>
      <c r="BI215" s="54" t="n"/>
      <c r="BJ215" s="54" t="n"/>
      <c r="BK215" s="54" t="n"/>
      <c r="BL215" s="54" t="n"/>
      <c r="BM215" s="54" t="n"/>
      <c r="BN215" s="54" t="n"/>
      <c r="BO215" s="54" t="n"/>
      <c r="BP215" s="54" t="n"/>
      <c r="BQ215" s="54" t="n"/>
      <c r="BR215" s="54" t="n"/>
      <c r="BS215" s="54" t="n"/>
      <c r="BT215" s="54" t="n"/>
      <c r="BU215" s="54" t="n"/>
    </row>
    <row r="216">
      <c r="AU216" s="54" t="n"/>
      <c r="AV216" s="54" t="n"/>
      <c r="AW216" s="54" t="n"/>
      <c r="AX216" s="54" t="n"/>
      <c r="AY216" s="54" t="n"/>
      <c r="AZ216" s="54" t="n"/>
      <c r="BA216" s="54" t="n"/>
      <c r="BB216" s="54" t="n"/>
      <c r="BC216" s="54" t="n"/>
      <c r="BD216" s="54" t="n"/>
      <c r="BE216" s="54" t="n"/>
      <c r="BF216" s="54" t="n"/>
      <c r="BG216" s="54" t="n"/>
      <c r="BH216" s="54" t="n"/>
      <c r="BI216" s="54" t="n"/>
      <c r="BJ216" s="54" t="n"/>
      <c r="BK216" s="54" t="n"/>
      <c r="BL216" s="54" t="n"/>
      <c r="BM216" s="54" t="n"/>
      <c r="BN216" s="54" t="n"/>
      <c r="BO216" s="54" t="n"/>
      <c r="BP216" s="54" t="n"/>
      <c r="BQ216" s="54" t="n"/>
      <c r="BR216" s="54" t="n"/>
      <c r="BS216" s="54" t="n"/>
      <c r="BT216" s="54" t="n"/>
      <c r="BU216" s="54" t="n"/>
    </row>
    <row r="217">
      <c r="AU217" s="54" t="n"/>
      <c r="AV217" s="54" t="n"/>
      <c r="AW217" s="54" t="n"/>
      <c r="AX217" s="54" t="n"/>
      <c r="AY217" s="54" t="n"/>
      <c r="AZ217" s="54" t="n"/>
      <c r="BA217" s="54" t="n"/>
      <c r="BB217" s="54" t="n"/>
      <c r="BC217" s="54" t="n"/>
      <c r="BD217" s="54" t="n"/>
      <c r="BE217" s="54" t="n"/>
      <c r="BF217" s="54" t="n"/>
      <c r="BG217" s="54" t="n"/>
      <c r="BH217" s="54" t="n"/>
      <c r="BI217" s="54" t="n"/>
      <c r="BJ217" s="54" t="n"/>
      <c r="BK217" s="54" t="n"/>
      <c r="BL217" s="54" t="n"/>
      <c r="BM217" s="54" t="n"/>
      <c r="BN217" s="54" t="n"/>
      <c r="BO217" s="54" t="n"/>
      <c r="BP217" s="54" t="n"/>
      <c r="BQ217" s="54" t="n"/>
      <c r="BR217" s="54" t="n"/>
      <c r="BS217" s="54" t="n"/>
      <c r="BT217" s="54" t="n"/>
      <c r="BU217" s="54" t="n"/>
    </row>
    <row r="218">
      <c r="AU218" s="54" t="n"/>
      <c r="AV218" s="54" t="n"/>
      <c r="AW218" s="54" t="n"/>
      <c r="AX218" s="54" t="n"/>
      <c r="AY218" s="54" t="n"/>
      <c r="AZ218" s="54" t="n"/>
      <c r="BA218" s="54" t="n"/>
      <c r="BB218" s="54" t="n"/>
      <c r="BC218" s="54" t="n"/>
      <c r="BD218" s="54" t="n"/>
      <c r="BE218" s="54" t="n"/>
      <c r="BF218" s="54" t="n"/>
      <c r="BG218" s="54" t="n"/>
      <c r="BH218" s="54" t="n"/>
      <c r="BI218" s="54" t="n"/>
      <c r="BJ218" s="54" t="n"/>
      <c r="BK218" s="54" t="n"/>
      <c r="BL218" s="54" t="n"/>
      <c r="BM218" s="54" t="n"/>
      <c r="BN218" s="54" t="n"/>
      <c r="BO218" s="54" t="n"/>
      <c r="BP218" s="54" t="n"/>
      <c r="BQ218" s="54" t="n"/>
      <c r="BR218" s="54" t="n"/>
      <c r="BS218" s="54" t="n"/>
      <c r="BT218" s="54" t="n"/>
      <c r="BU218" s="54" t="n"/>
    </row>
    <row r="219">
      <c r="AU219" s="54" t="n"/>
      <c r="AV219" s="54" t="n"/>
      <c r="AW219" s="54" t="n"/>
      <c r="AX219" s="54" t="n"/>
      <c r="AY219" s="54" t="n"/>
      <c r="AZ219" s="54" t="n"/>
      <c r="BA219" s="54" t="n"/>
      <c r="BB219" s="54" t="n"/>
      <c r="BC219" s="54" t="n"/>
      <c r="BD219" s="54" t="n"/>
      <c r="BE219" s="54" t="n"/>
      <c r="BF219" s="54" t="n"/>
      <c r="BG219" s="54" t="n"/>
      <c r="BH219" s="54" t="n"/>
      <c r="BI219" s="54" t="n"/>
      <c r="BJ219" s="54" t="n"/>
      <c r="BK219" s="54" t="n"/>
      <c r="BL219" s="54" t="n"/>
      <c r="BM219" s="54" t="n"/>
      <c r="BN219" s="54" t="n"/>
      <c r="BO219" s="54" t="n"/>
      <c r="BP219" s="54" t="n"/>
      <c r="BQ219" s="54" t="n"/>
      <c r="BR219" s="54" t="n"/>
      <c r="BS219" s="54" t="n"/>
      <c r="BT219" s="54" t="n"/>
      <c r="BU219" s="54" t="n"/>
    </row>
    <row r="220">
      <c r="AU220" s="54" t="n"/>
      <c r="AV220" s="54" t="n"/>
      <c r="AW220" s="54" t="n"/>
      <c r="AX220" s="54" t="n"/>
      <c r="AY220" s="54" t="n"/>
      <c r="AZ220" s="54" t="n"/>
      <c r="BA220" s="54" t="n"/>
      <c r="BB220" s="54" t="n"/>
      <c r="BC220" s="54" t="n"/>
      <c r="BD220" s="54" t="n"/>
      <c r="BE220" s="54" t="n"/>
      <c r="BF220" s="54" t="n"/>
      <c r="BG220" s="54" t="n"/>
      <c r="BH220" s="54" t="n"/>
      <c r="BI220" s="54" t="n"/>
      <c r="BJ220" s="54" t="n"/>
      <c r="BK220" s="54" t="n"/>
      <c r="BL220" s="54" t="n"/>
      <c r="BM220" s="54" t="n"/>
      <c r="BN220" s="54" t="n"/>
      <c r="BO220" s="54" t="n"/>
      <c r="BP220" s="54" t="n"/>
      <c r="BQ220" s="54" t="n"/>
      <c r="BR220" s="54" t="n"/>
      <c r="BS220" s="54" t="n"/>
      <c r="BT220" s="54" t="n"/>
      <c r="BU220" s="54" t="n"/>
    </row>
    <row r="221">
      <c r="AU221" s="54" t="n"/>
      <c r="AV221" s="54" t="n"/>
      <c r="AW221" s="54" t="n"/>
      <c r="AX221" s="54" t="n"/>
      <c r="AY221" s="54" t="n"/>
      <c r="AZ221" s="54" t="n"/>
      <c r="BA221" s="54" t="n"/>
      <c r="BB221" s="54" t="n"/>
      <c r="BC221" s="54" t="n"/>
      <c r="BD221" s="54" t="n"/>
      <c r="BE221" s="54" t="n"/>
      <c r="BF221" s="54" t="n"/>
      <c r="BG221" s="54" t="n"/>
      <c r="BH221" s="54" t="n"/>
      <c r="BI221" s="54" t="n"/>
      <c r="BJ221" s="54" t="n"/>
      <c r="BK221" s="54" t="n"/>
      <c r="BL221" s="54" t="n"/>
      <c r="BM221" s="54" t="n"/>
      <c r="BN221" s="54" t="n"/>
      <c r="BO221" s="54" t="n"/>
      <c r="BP221" s="54" t="n"/>
      <c r="BQ221" s="54" t="n"/>
      <c r="BR221" s="54" t="n"/>
      <c r="BS221" s="54" t="n"/>
      <c r="BT221" s="54" t="n"/>
      <c r="BU221" s="54" t="n"/>
    </row>
    <row r="222">
      <c r="AU222" s="54" t="n"/>
      <c r="AV222" s="54" t="n"/>
      <c r="AW222" s="54" t="n"/>
      <c r="AX222" s="54" t="n"/>
      <c r="AY222" s="54" t="n"/>
      <c r="AZ222" s="54" t="n"/>
      <c r="BA222" s="54" t="n"/>
      <c r="BB222" s="54" t="n"/>
      <c r="BC222" s="54" t="n"/>
      <c r="BD222" s="54" t="n"/>
      <c r="BE222" s="54" t="n"/>
      <c r="BF222" s="54" t="n"/>
      <c r="BG222" s="54" t="n"/>
      <c r="BH222" s="54" t="n"/>
      <c r="BI222" s="54" t="n"/>
      <c r="BJ222" s="54" t="n"/>
      <c r="BK222" s="54" t="n"/>
      <c r="BL222" s="54" t="n"/>
      <c r="BM222" s="54" t="n"/>
      <c r="BN222" s="54" t="n"/>
      <c r="BO222" s="54" t="n"/>
      <c r="BP222" s="54" t="n"/>
      <c r="BQ222" s="54" t="n"/>
      <c r="BR222" s="54" t="n"/>
      <c r="BS222" s="54" t="n"/>
      <c r="BT222" s="54" t="n"/>
      <c r="BU222" s="54" t="n"/>
    </row>
    <row r="223">
      <c r="AU223" s="54" t="n"/>
      <c r="AV223" s="54" t="n"/>
      <c r="AW223" s="54" t="n"/>
      <c r="AX223" s="54" t="n"/>
      <c r="AY223" s="54" t="n"/>
      <c r="AZ223" s="54" t="n"/>
      <c r="BA223" s="54" t="n"/>
      <c r="BB223" s="54" t="n"/>
      <c r="BC223" s="54" t="n"/>
      <c r="BD223" s="54" t="n"/>
      <c r="BE223" s="54" t="n"/>
      <c r="BF223" s="54" t="n"/>
      <c r="BG223" s="54" t="n"/>
      <c r="BH223" s="54" t="n"/>
      <c r="BI223" s="54" t="n"/>
      <c r="BJ223" s="54" t="n"/>
      <c r="BK223" s="54" t="n"/>
      <c r="BL223" s="54" t="n"/>
      <c r="BM223" s="54" t="n"/>
      <c r="BN223" s="54" t="n"/>
      <c r="BO223" s="54" t="n"/>
      <c r="BP223" s="54" t="n"/>
      <c r="BQ223" s="54" t="n"/>
      <c r="BR223" s="54" t="n"/>
      <c r="BS223" s="54" t="n"/>
      <c r="BT223" s="54" t="n"/>
      <c r="BU223" s="54" t="n"/>
    </row>
    <row r="224">
      <c r="AU224" s="54" t="n"/>
      <c r="AV224" s="54" t="n"/>
      <c r="AW224" s="54" t="n"/>
      <c r="AX224" s="54" t="n"/>
      <c r="AY224" s="54" t="n"/>
      <c r="AZ224" s="54" t="n"/>
      <c r="BA224" s="54" t="n"/>
      <c r="BB224" s="54" t="n"/>
      <c r="BC224" s="54" t="n"/>
      <c r="BD224" s="54" t="n"/>
      <c r="BE224" s="54" t="n"/>
      <c r="BF224" s="54" t="n"/>
      <c r="BG224" s="54" t="n"/>
      <c r="BH224" s="54" t="n"/>
      <c r="BI224" s="54" t="n"/>
      <c r="BJ224" s="54" t="n"/>
      <c r="BK224" s="54" t="n"/>
      <c r="BL224" s="54" t="n"/>
      <c r="BM224" s="54" t="n"/>
      <c r="BN224" s="54" t="n"/>
      <c r="BO224" s="54" t="n"/>
      <c r="BP224" s="54" t="n"/>
      <c r="BQ224" s="54" t="n"/>
      <c r="BR224" s="54" t="n"/>
      <c r="BS224" s="54" t="n"/>
      <c r="BT224" s="54" t="n"/>
      <c r="BU224" s="54" t="n"/>
    </row>
    <row r="225">
      <c r="AU225" s="54" t="n"/>
      <c r="AV225" s="54" t="n"/>
      <c r="AW225" s="54" t="n"/>
      <c r="AX225" s="54" t="n"/>
      <c r="AY225" s="54" t="n"/>
      <c r="AZ225" s="54" t="n"/>
      <c r="BA225" s="54" t="n"/>
      <c r="BB225" s="54" t="n"/>
      <c r="BC225" s="54" t="n"/>
      <c r="BD225" s="54" t="n"/>
      <c r="BE225" s="54" t="n"/>
      <c r="BF225" s="54" t="n"/>
      <c r="BG225" s="54" t="n"/>
      <c r="BH225" s="54" t="n"/>
      <c r="BI225" s="54" t="n"/>
      <c r="BJ225" s="54" t="n"/>
      <c r="BK225" s="54" t="n"/>
      <c r="BL225" s="54" t="n"/>
      <c r="BM225" s="54" t="n"/>
      <c r="BN225" s="54" t="n"/>
      <c r="BO225" s="54" t="n"/>
      <c r="BP225" s="54" t="n"/>
      <c r="BQ225" s="54" t="n"/>
      <c r="BR225" s="54" t="n"/>
      <c r="BS225" s="54" t="n"/>
      <c r="BT225" s="54" t="n"/>
      <c r="BU225" s="54" t="n"/>
    </row>
    <row r="226">
      <c r="AU226" s="54" t="n"/>
      <c r="AV226" s="54" t="n"/>
      <c r="AW226" s="54" t="n"/>
      <c r="AX226" s="54" t="n"/>
      <c r="AY226" s="54" t="n"/>
      <c r="AZ226" s="54" t="n"/>
      <c r="BA226" s="54" t="n"/>
      <c r="BB226" s="54" t="n"/>
      <c r="BC226" s="54" t="n"/>
      <c r="BD226" s="54" t="n"/>
      <c r="BE226" s="54" t="n"/>
      <c r="BF226" s="54" t="n"/>
      <c r="BG226" s="54" t="n"/>
      <c r="BH226" s="54" t="n"/>
      <c r="BI226" s="54" t="n"/>
      <c r="BJ226" s="54" t="n"/>
      <c r="BK226" s="54" t="n"/>
      <c r="BL226" s="54" t="n"/>
      <c r="BM226" s="54" t="n"/>
      <c r="BN226" s="54" t="n"/>
      <c r="BO226" s="54" t="n"/>
      <c r="BP226" s="54" t="n"/>
      <c r="BQ226" s="54" t="n"/>
      <c r="BR226" s="54" t="n"/>
      <c r="BS226" s="54" t="n"/>
      <c r="BT226" s="54" t="n"/>
      <c r="BU226" s="54" t="n"/>
    </row>
    <row r="227">
      <c r="AU227" s="54" t="n"/>
      <c r="AV227" s="54" t="n"/>
      <c r="AW227" s="54" t="n"/>
      <c r="AX227" s="54" t="n"/>
      <c r="AY227" s="54" t="n"/>
      <c r="AZ227" s="54" t="n"/>
      <c r="BA227" s="54" t="n"/>
      <c r="BB227" s="54" t="n"/>
      <c r="BC227" s="54" t="n"/>
      <c r="BD227" s="54" t="n"/>
      <c r="BE227" s="54" t="n"/>
      <c r="BF227" s="54" t="n"/>
      <c r="BG227" s="54" t="n"/>
      <c r="BH227" s="54" t="n"/>
      <c r="BI227" s="54" t="n"/>
      <c r="BJ227" s="54" t="n"/>
      <c r="BK227" s="54" t="n"/>
      <c r="BL227" s="54" t="n"/>
      <c r="BM227" s="54" t="n"/>
      <c r="BN227" s="54" t="n"/>
      <c r="BO227" s="54" t="n"/>
      <c r="BP227" s="54" t="n"/>
      <c r="BQ227" s="54" t="n"/>
      <c r="BR227" s="54" t="n"/>
      <c r="BS227" s="54" t="n"/>
      <c r="BT227" s="54" t="n"/>
      <c r="BU227" s="54" t="n"/>
    </row>
    <row r="228">
      <c r="AU228" s="54" t="n"/>
      <c r="AV228" s="54" t="n"/>
      <c r="AW228" s="54" t="n"/>
      <c r="AX228" s="54" t="n"/>
      <c r="AY228" s="54" t="n"/>
      <c r="AZ228" s="54" t="n"/>
      <c r="BA228" s="54" t="n"/>
      <c r="BB228" s="54" t="n"/>
      <c r="BC228" s="54" t="n"/>
      <c r="BD228" s="54" t="n"/>
      <c r="BE228" s="54" t="n"/>
      <c r="BF228" s="54" t="n"/>
      <c r="BG228" s="54" t="n"/>
      <c r="BH228" s="54" t="n"/>
      <c r="BI228" s="54" t="n"/>
      <c r="BJ228" s="54" t="n"/>
      <c r="BK228" s="54" t="n"/>
      <c r="BL228" s="54" t="n"/>
      <c r="BM228" s="54" t="n"/>
      <c r="BN228" s="54" t="n"/>
      <c r="BO228" s="54" t="n"/>
      <c r="BP228" s="54" t="n"/>
      <c r="BQ228" s="54" t="n"/>
      <c r="BR228" s="54" t="n"/>
      <c r="BS228" s="54" t="n"/>
      <c r="BT228" s="54" t="n"/>
      <c r="BU228" s="54" t="n"/>
    </row>
    <row r="229">
      <c r="AU229" s="54" t="n"/>
      <c r="AV229" s="54" t="n"/>
      <c r="AW229" s="54" t="n"/>
      <c r="AX229" s="54" t="n"/>
      <c r="AY229" s="54" t="n"/>
      <c r="AZ229" s="54" t="n"/>
      <c r="BA229" s="54" t="n"/>
      <c r="BB229" s="54" t="n"/>
      <c r="BC229" s="54" t="n"/>
      <c r="BD229" s="54" t="n"/>
      <c r="BE229" s="54" t="n"/>
      <c r="BF229" s="54" t="n"/>
      <c r="BG229" s="54" t="n"/>
      <c r="BH229" s="54" t="n"/>
      <c r="BI229" s="54" t="n"/>
      <c r="BJ229" s="54" t="n"/>
      <c r="BK229" s="54" t="n"/>
      <c r="BL229" s="54" t="n"/>
      <c r="BM229" s="54" t="n"/>
      <c r="BN229" s="54" t="n"/>
      <c r="BO229" s="54" t="n"/>
      <c r="BP229" s="54" t="n"/>
      <c r="BQ229" s="54" t="n"/>
      <c r="BR229" s="54" t="n"/>
      <c r="BS229" s="54" t="n"/>
      <c r="BT229" s="54" t="n"/>
      <c r="BU229" s="54" t="n"/>
    </row>
    <row r="230">
      <c r="AU230" s="54" t="n"/>
      <c r="AV230" s="54" t="n"/>
      <c r="AW230" s="54" t="n"/>
      <c r="AX230" s="54" t="n"/>
      <c r="AY230" s="54" t="n"/>
      <c r="AZ230" s="54" t="n"/>
      <c r="BA230" s="54" t="n"/>
      <c r="BB230" s="54" t="n"/>
      <c r="BC230" s="54" t="n"/>
      <c r="BD230" s="54" t="n"/>
      <c r="BE230" s="54" t="n"/>
      <c r="BF230" s="54" t="n"/>
      <c r="BG230" s="54" t="n"/>
      <c r="BH230" s="54" t="n"/>
      <c r="BI230" s="54" t="n"/>
      <c r="BJ230" s="54" t="n"/>
      <c r="BK230" s="54" t="n"/>
      <c r="BL230" s="54" t="n"/>
      <c r="BM230" s="54" t="n"/>
      <c r="BN230" s="54" t="n"/>
      <c r="BO230" s="54" t="n"/>
      <c r="BP230" s="54" t="n"/>
      <c r="BQ230" s="54" t="n"/>
      <c r="BR230" s="54" t="n"/>
      <c r="BS230" s="54" t="n"/>
      <c r="BT230" s="54" t="n"/>
      <c r="BU230" s="54" t="n"/>
    </row>
    <row r="231">
      <c r="AU231" s="54" t="n"/>
      <c r="AV231" s="54" t="n"/>
      <c r="AW231" s="54" t="n"/>
      <c r="AX231" s="54" t="n"/>
      <c r="AY231" s="54" t="n"/>
      <c r="AZ231" s="54" t="n"/>
      <c r="BA231" s="54" t="n"/>
      <c r="BB231" s="54" t="n"/>
      <c r="BC231" s="54" t="n"/>
      <c r="BD231" s="54" t="n"/>
      <c r="BE231" s="54" t="n"/>
      <c r="BF231" s="54" t="n"/>
      <c r="BG231" s="54" t="n"/>
      <c r="BH231" s="54" t="n"/>
      <c r="BI231" s="54" t="n"/>
      <c r="BJ231" s="54" t="n"/>
      <c r="BK231" s="54" t="n"/>
      <c r="BL231" s="54" t="n"/>
      <c r="BM231" s="54" t="n"/>
      <c r="BN231" s="54" t="n"/>
      <c r="BO231" s="54" t="n"/>
      <c r="BP231" s="54" t="n"/>
      <c r="BQ231" s="54" t="n"/>
      <c r="BR231" s="54" t="n"/>
      <c r="BS231" s="54" t="n"/>
      <c r="BT231" s="54" t="n"/>
      <c r="BU231" s="54" t="n"/>
    </row>
    <row r="232">
      <c r="AU232" s="54" t="n"/>
      <c r="AV232" s="54" t="n"/>
      <c r="AW232" s="54" t="n"/>
      <c r="AX232" s="54" t="n"/>
      <c r="AY232" s="54" t="n"/>
      <c r="AZ232" s="54" t="n"/>
      <c r="BA232" s="54" t="n"/>
      <c r="BB232" s="54" t="n"/>
      <c r="BC232" s="54" t="n"/>
      <c r="BD232" s="54" t="n"/>
      <c r="BE232" s="54" t="n"/>
      <c r="BF232" s="54" t="n"/>
      <c r="BG232" s="54" t="n"/>
      <c r="BH232" s="54" t="n"/>
      <c r="BI232" s="54" t="n"/>
      <c r="BJ232" s="54" t="n"/>
      <c r="BK232" s="54" t="n"/>
      <c r="BL232" s="54" t="n"/>
      <c r="BM232" s="54" t="n"/>
      <c r="BN232" s="54" t="n"/>
      <c r="BO232" s="54" t="n"/>
      <c r="BP232" s="54" t="n"/>
      <c r="BQ232" s="54" t="n"/>
      <c r="BR232" s="54" t="n"/>
      <c r="BS232" s="54" t="n"/>
      <c r="BT232" s="54" t="n"/>
      <c r="BU232" s="54" t="n"/>
    </row>
    <row r="233">
      <c r="AU233" s="54" t="n"/>
      <c r="AV233" s="54" t="n"/>
      <c r="AW233" s="54" t="n"/>
      <c r="AX233" s="54" t="n"/>
      <c r="AY233" s="54" t="n"/>
      <c r="AZ233" s="54" t="n"/>
      <c r="BA233" s="54" t="n"/>
      <c r="BB233" s="54" t="n"/>
      <c r="BC233" s="54" t="n"/>
      <c r="BD233" s="54" t="n"/>
      <c r="BE233" s="54" t="n"/>
      <c r="BF233" s="54" t="n"/>
      <c r="BG233" s="54" t="n"/>
      <c r="BH233" s="54" t="n"/>
      <c r="BI233" s="54" t="n"/>
      <c r="BJ233" s="54" t="n"/>
      <c r="BK233" s="54" t="n"/>
      <c r="BL233" s="54" t="n"/>
      <c r="BM233" s="54" t="n"/>
      <c r="BN233" s="54" t="n"/>
      <c r="BO233" s="54" t="n"/>
      <c r="BP233" s="54" t="n"/>
      <c r="BQ233" s="54" t="n"/>
      <c r="BR233" s="54" t="n"/>
      <c r="BS233" s="54" t="n"/>
      <c r="BT233" s="54" t="n"/>
      <c r="BU233" s="54" t="n"/>
    </row>
    <row r="234">
      <c r="AU234" s="54" t="n"/>
      <c r="AV234" s="54" t="n"/>
      <c r="AW234" s="54" t="n"/>
      <c r="AX234" s="54" t="n"/>
      <c r="AY234" s="54" t="n"/>
      <c r="AZ234" s="54" t="n"/>
      <c r="BA234" s="54" t="n"/>
      <c r="BB234" s="54" t="n"/>
      <c r="BC234" s="54" t="n"/>
      <c r="BD234" s="54" t="n"/>
      <c r="BE234" s="54" t="n"/>
      <c r="BF234" s="54" t="n"/>
      <c r="BG234" s="54" t="n"/>
      <c r="BH234" s="54" t="n"/>
      <c r="BI234" s="54" t="n"/>
      <c r="BJ234" s="54" t="n"/>
      <c r="BK234" s="54" t="n"/>
      <c r="BL234" s="54" t="n"/>
      <c r="BM234" s="54" t="n"/>
      <c r="BN234" s="54" t="n"/>
      <c r="BO234" s="54" t="n"/>
      <c r="BP234" s="54" t="n"/>
      <c r="BQ234" s="54" t="n"/>
      <c r="BR234" s="54" t="n"/>
      <c r="BS234" s="54" t="n"/>
      <c r="BT234" s="54" t="n"/>
      <c r="BU234" s="54" t="n"/>
    </row>
    <row r="235">
      <c r="AU235" s="54" t="n"/>
      <c r="AV235" s="54" t="n"/>
      <c r="AW235" s="54" t="n"/>
      <c r="AX235" s="54" t="n"/>
      <c r="AY235" s="54" t="n"/>
      <c r="AZ235" s="54" t="n"/>
      <c r="BA235" s="54" t="n"/>
      <c r="BB235" s="54" t="n"/>
      <c r="BC235" s="54" t="n"/>
      <c r="BD235" s="54" t="n"/>
      <c r="BE235" s="54" t="n"/>
      <c r="BF235" s="54" t="n"/>
      <c r="BG235" s="54" t="n"/>
      <c r="BH235" s="54" t="n"/>
      <c r="BI235" s="54" t="n"/>
      <c r="BJ235" s="54" t="n"/>
      <c r="BK235" s="54" t="n"/>
      <c r="BL235" s="54" t="n"/>
      <c r="BM235" s="54" t="n"/>
      <c r="BN235" s="54" t="n"/>
      <c r="BO235" s="54" t="n"/>
      <c r="BP235" s="54" t="n"/>
      <c r="BQ235" s="54" t="n"/>
      <c r="BR235" s="54" t="n"/>
      <c r="BS235" s="54" t="n"/>
      <c r="BT235" s="54" t="n"/>
      <c r="BU235" s="54" t="n"/>
    </row>
    <row r="236">
      <c r="AU236" s="54" t="n"/>
      <c r="AV236" s="54" t="n"/>
      <c r="AW236" s="54" t="n"/>
      <c r="AX236" s="54" t="n"/>
      <c r="AY236" s="54" t="n"/>
      <c r="AZ236" s="54" t="n"/>
      <c r="BA236" s="54" t="n"/>
      <c r="BB236" s="54" t="n"/>
      <c r="BC236" s="54" t="n"/>
      <c r="BD236" s="54" t="n"/>
      <c r="BE236" s="54" t="n"/>
      <c r="BF236" s="54" t="n"/>
      <c r="BG236" s="54" t="n"/>
      <c r="BH236" s="54" t="n"/>
      <c r="BI236" s="54" t="n"/>
      <c r="BJ236" s="54" t="n"/>
      <c r="BK236" s="54" t="n"/>
      <c r="BL236" s="54" t="n"/>
      <c r="BM236" s="54" t="n"/>
      <c r="BN236" s="54" t="n"/>
      <c r="BO236" s="54" t="n"/>
      <c r="BP236" s="54" t="n"/>
      <c r="BQ236" s="54" t="n"/>
      <c r="BR236" s="54" t="n"/>
      <c r="BS236" s="54" t="n"/>
      <c r="BT236" s="54" t="n"/>
      <c r="BU236" s="54" t="n"/>
    </row>
    <row r="237">
      <c r="AU237" s="54" t="n"/>
      <c r="AV237" s="54" t="n"/>
      <c r="AW237" s="54" t="n"/>
      <c r="AX237" s="54" t="n"/>
      <c r="AY237" s="54" t="n"/>
      <c r="AZ237" s="54" t="n"/>
      <c r="BA237" s="54" t="n"/>
      <c r="BB237" s="54" t="n"/>
      <c r="BC237" s="54" t="n"/>
      <c r="BD237" s="54" t="n"/>
      <c r="BE237" s="54" t="n"/>
      <c r="BF237" s="54" t="n"/>
      <c r="BG237" s="54" t="n"/>
      <c r="BH237" s="54" t="n"/>
      <c r="BI237" s="54" t="n"/>
      <c r="BJ237" s="54" t="n"/>
      <c r="BK237" s="54" t="n"/>
      <c r="BL237" s="54" t="n"/>
      <c r="BM237" s="54" t="n"/>
      <c r="BN237" s="54" t="n"/>
      <c r="BO237" s="54" t="n"/>
      <c r="BP237" s="54" t="n"/>
      <c r="BQ237" s="54" t="n"/>
      <c r="BR237" s="54" t="n"/>
      <c r="BS237" s="54" t="n"/>
      <c r="BT237" s="54" t="n"/>
      <c r="BU237" s="54" t="n"/>
    </row>
    <row r="238">
      <c r="AU238" s="54" t="n"/>
      <c r="AV238" s="54" t="n"/>
      <c r="AW238" s="54" t="n"/>
      <c r="AX238" s="54" t="n"/>
      <c r="AY238" s="54" t="n"/>
      <c r="AZ238" s="54" t="n"/>
      <c r="BA238" s="54" t="n"/>
      <c r="BB238" s="54" t="n"/>
      <c r="BC238" s="54" t="n"/>
      <c r="BD238" s="54" t="n"/>
      <c r="BE238" s="54" t="n"/>
      <c r="BF238" s="54" t="n"/>
      <c r="BG238" s="54" t="n"/>
      <c r="BH238" s="54" t="n"/>
      <c r="BI238" s="54" t="n"/>
      <c r="BJ238" s="54" t="n"/>
      <c r="BK238" s="54" t="n"/>
      <c r="BL238" s="54" t="n"/>
      <c r="BM238" s="54" t="n"/>
      <c r="BN238" s="54" t="n"/>
      <c r="BO238" s="54" t="n"/>
      <c r="BP238" s="54" t="n"/>
      <c r="BQ238" s="54" t="n"/>
      <c r="BR238" s="54" t="n"/>
      <c r="BS238" s="54" t="n"/>
      <c r="BT238" s="54" t="n"/>
      <c r="BU238" s="54" t="n"/>
    </row>
    <row r="239">
      <c r="AU239" s="54" t="n"/>
      <c r="AV239" s="54" t="n"/>
      <c r="AW239" s="54" t="n"/>
      <c r="AX239" s="54" t="n"/>
      <c r="AY239" s="54" t="n"/>
      <c r="AZ239" s="54" t="n"/>
      <c r="BA239" s="54" t="n"/>
      <c r="BB239" s="54" t="n"/>
      <c r="BC239" s="54" t="n"/>
      <c r="BD239" s="54" t="n"/>
      <c r="BE239" s="54" t="n"/>
      <c r="BF239" s="54" t="n"/>
      <c r="BG239" s="54" t="n"/>
      <c r="BH239" s="54" t="n"/>
      <c r="BI239" s="54" t="n"/>
      <c r="BJ239" s="54" t="n"/>
      <c r="BK239" s="54" t="n"/>
      <c r="BL239" s="54" t="n"/>
      <c r="BM239" s="54" t="n"/>
      <c r="BN239" s="54" t="n"/>
      <c r="BO239" s="54" t="n"/>
      <c r="BP239" s="54" t="n"/>
      <c r="BQ239" s="54" t="n"/>
      <c r="BR239" s="54" t="n"/>
      <c r="BS239" s="54" t="n"/>
      <c r="BT239" s="54" t="n"/>
      <c r="BU239" s="54" t="n"/>
    </row>
    <row r="240">
      <c r="AU240" s="54" t="n"/>
      <c r="AV240" s="54" t="n"/>
      <c r="AW240" s="54" t="n"/>
      <c r="AX240" s="54" t="n"/>
      <c r="AY240" s="54" t="n"/>
      <c r="AZ240" s="54" t="n"/>
      <c r="BA240" s="54" t="n"/>
      <c r="BB240" s="54" t="n"/>
      <c r="BC240" s="54" t="n"/>
      <c r="BD240" s="54" t="n"/>
      <c r="BE240" s="54" t="n"/>
      <c r="BF240" s="54" t="n"/>
      <c r="BG240" s="54" t="n"/>
      <c r="BH240" s="54" t="n"/>
      <c r="BI240" s="54" t="n"/>
      <c r="BJ240" s="54" t="n"/>
      <c r="BK240" s="54" t="n"/>
      <c r="BL240" s="54" t="n"/>
      <c r="BM240" s="54" t="n"/>
      <c r="BN240" s="54" t="n"/>
      <c r="BO240" s="54" t="n"/>
      <c r="BP240" s="54" t="n"/>
      <c r="BQ240" s="54" t="n"/>
      <c r="BR240" s="54" t="n"/>
      <c r="BS240" s="54" t="n"/>
      <c r="BT240" s="54" t="n"/>
      <c r="BU240" s="54" t="n"/>
    </row>
    <row r="241">
      <c r="AU241" s="54" t="n"/>
      <c r="AV241" s="54" t="n"/>
      <c r="AW241" s="54" t="n"/>
      <c r="AX241" s="54" t="n"/>
      <c r="AY241" s="54" t="n"/>
      <c r="AZ241" s="54" t="n"/>
      <c r="BA241" s="54" t="n"/>
      <c r="BB241" s="54" t="n"/>
      <c r="BC241" s="54" t="n"/>
      <c r="BD241" s="54" t="n"/>
      <c r="BE241" s="54" t="n"/>
      <c r="BF241" s="54" t="n"/>
      <c r="BG241" s="54" t="n"/>
      <c r="BH241" s="54" t="n"/>
      <c r="BI241" s="54" t="n"/>
      <c r="BJ241" s="54" t="n"/>
      <c r="BK241" s="54" t="n"/>
      <c r="BL241" s="54" t="n"/>
      <c r="BM241" s="54" t="n"/>
      <c r="BN241" s="54" t="n"/>
      <c r="BO241" s="54" t="n"/>
      <c r="BP241" s="54" t="n"/>
      <c r="BQ241" s="54" t="n"/>
      <c r="BR241" s="54" t="n"/>
      <c r="BS241" s="54" t="n"/>
      <c r="BT241" s="54" t="n"/>
      <c r="BU241" s="54" t="n"/>
    </row>
    <row r="242">
      <c r="AU242" s="54" t="n"/>
      <c r="AV242" s="54" t="n"/>
      <c r="AW242" s="54" t="n"/>
      <c r="AX242" s="54" t="n"/>
      <c r="AY242" s="54" t="n"/>
      <c r="AZ242" s="54" t="n"/>
      <c r="BA242" s="54" t="n"/>
      <c r="BB242" s="54" t="n"/>
      <c r="BC242" s="54" t="n"/>
      <c r="BD242" s="54" t="n"/>
      <c r="BE242" s="54" t="n"/>
      <c r="BF242" s="54" t="n"/>
      <c r="BG242" s="54" t="n"/>
      <c r="BH242" s="54" t="n"/>
      <c r="BI242" s="54" t="n"/>
      <c r="BJ242" s="54" t="n"/>
      <c r="BK242" s="54" t="n"/>
      <c r="BL242" s="54" t="n"/>
      <c r="BM242" s="54" t="n"/>
      <c r="BN242" s="54" t="n"/>
      <c r="BO242" s="54" t="n"/>
      <c r="BP242" s="54" t="n"/>
      <c r="BQ242" s="54" t="n"/>
      <c r="BR242" s="54" t="n"/>
      <c r="BS242" s="54" t="n"/>
      <c r="BT242" s="54" t="n"/>
      <c r="BU242" s="54" t="n"/>
    </row>
    <row r="243">
      <c r="AU243" s="54" t="n"/>
      <c r="AV243" s="54" t="n"/>
      <c r="AW243" s="54" t="n"/>
      <c r="AX243" s="54" t="n"/>
      <c r="AY243" s="54" t="n"/>
      <c r="AZ243" s="54" t="n"/>
      <c r="BA243" s="54" t="n"/>
      <c r="BB243" s="54" t="n"/>
      <c r="BC243" s="54" t="n"/>
      <c r="BD243" s="54" t="n"/>
      <c r="BE243" s="54" t="n"/>
      <c r="BF243" s="54" t="n"/>
      <c r="BG243" s="54" t="n"/>
      <c r="BH243" s="54" t="n"/>
      <c r="BI243" s="54" t="n"/>
      <c r="BJ243" s="54" t="n"/>
      <c r="BK243" s="54" t="n"/>
      <c r="BL243" s="54" t="n"/>
      <c r="BM243" s="54" t="n"/>
      <c r="BN243" s="54" t="n"/>
      <c r="BO243" s="54" t="n"/>
      <c r="BP243" s="54" t="n"/>
      <c r="BQ243" s="54" t="n"/>
      <c r="BR243" s="54" t="n"/>
      <c r="BS243" s="54" t="n"/>
      <c r="BT243" s="54" t="n"/>
      <c r="BU243" s="54" t="n"/>
    </row>
    <row r="244">
      <c r="AU244" s="54" t="n"/>
      <c r="AV244" s="54" t="n"/>
      <c r="AW244" s="54" t="n"/>
      <c r="AX244" s="54" t="n"/>
      <c r="AY244" s="54" t="n"/>
      <c r="AZ244" s="54" t="n"/>
      <c r="BA244" s="54" t="n"/>
      <c r="BB244" s="54" t="n"/>
      <c r="BC244" s="54" t="n"/>
      <c r="BD244" s="54" t="n"/>
      <c r="BE244" s="54" t="n"/>
      <c r="BF244" s="54" t="n"/>
      <c r="BG244" s="54" t="n"/>
      <c r="BH244" s="54" t="n"/>
      <c r="BI244" s="54" t="n"/>
      <c r="BJ244" s="54" t="n"/>
      <c r="BK244" s="54" t="n"/>
      <c r="BL244" s="54" t="n"/>
      <c r="BM244" s="54" t="n"/>
      <c r="BN244" s="54" t="n"/>
      <c r="BO244" s="54" t="n"/>
      <c r="BP244" s="54" t="n"/>
      <c r="BQ244" s="54" t="n"/>
      <c r="BR244" s="54" t="n"/>
      <c r="BS244" s="54" t="n"/>
      <c r="BT244" s="54" t="n"/>
      <c r="BU244" s="54" t="n"/>
    </row>
    <row r="245">
      <c r="AU245" s="54" t="n"/>
      <c r="AV245" s="54" t="n"/>
      <c r="AW245" s="54" t="n"/>
      <c r="AX245" s="54" t="n"/>
      <c r="AY245" s="54" t="n"/>
      <c r="AZ245" s="54" t="n"/>
      <c r="BA245" s="54" t="n"/>
      <c r="BB245" s="54" t="n"/>
      <c r="BC245" s="54" t="n"/>
      <c r="BD245" s="54" t="n"/>
      <c r="BE245" s="54" t="n"/>
      <c r="BF245" s="54" t="n"/>
      <c r="BG245" s="54" t="n"/>
      <c r="BH245" s="54" t="n"/>
      <c r="BI245" s="54" t="n"/>
      <c r="BJ245" s="54" t="n"/>
      <c r="BK245" s="54" t="n"/>
      <c r="BL245" s="54" t="n"/>
      <c r="BM245" s="54" t="n"/>
      <c r="BN245" s="54" t="n"/>
      <c r="BO245" s="54" t="n"/>
      <c r="BP245" s="54" t="n"/>
      <c r="BQ245" s="54" t="n"/>
      <c r="BR245" s="54" t="n"/>
      <c r="BS245" s="54" t="n"/>
      <c r="BT245" s="54" t="n"/>
      <c r="BU245" s="54" t="n"/>
    </row>
    <row r="246">
      <c r="AU246" s="54" t="n"/>
      <c r="AV246" s="54" t="n"/>
      <c r="AW246" s="54" t="n"/>
      <c r="AX246" s="54" t="n"/>
      <c r="AY246" s="54" t="n"/>
      <c r="AZ246" s="54" t="n"/>
      <c r="BA246" s="54" t="n"/>
      <c r="BB246" s="54" t="n"/>
      <c r="BC246" s="54" t="n"/>
      <c r="BD246" s="54" t="n"/>
      <c r="BE246" s="54" t="n"/>
      <c r="BF246" s="54" t="n"/>
      <c r="BG246" s="54" t="n"/>
      <c r="BH246" s="54" t="n"/>
      <c r="BI246" s="54" t="n"/>
      <c r="BJ246" s="54" t="n"/>
      <c r="BK246" s="54" t="n"/>
      <c r="BL246" s="54" t="n"/>
      <c r="BM246" s="54" t="n"/>
      <c r="BN246" s="54" t="n"/>
      <c r="BO246" s="54" t="n"/>
      <c r="BP246" s="54" t="n"/>
      <c r="BQ246" s="54" t="n"/>
      <c r="BR246" s="54" t="n"/>
      <c r="BS246" s="54" t="n"/>
      <c r="BT246" s="54" t="n"/>
      <c r="BU246" s="54" t="n"/>
    </row>
    <row r="247">
      <c r="AU247" s="54" t="n"/>
      <c r="AV247" s="54" t="n"/>
      <c r="AW247" s="54" t="n"/>
      <c r="AX247" s="54" t="n"/>
      <c r="AY247" s="54" t="n"/>
      <c r="AZ247" s="54" t="n"/>
      <c r="BA247" s="54" t="n"/>
      <c r="BB247" s="54" t="n"/>
      <c r="BC247" s="54" t="n"/>
      <c r="BD247" s="54" t="n"/>
      <c r="BE247" s="54" t="n"/>
      <c r="BF247" s="54" t="n"/>
      <c r="BG247" s="54" t="n"/>
      <c r="BH247" s="54" t="n"/>
      <c r="BI247" s="54" t="n"/>
      <c r="BJ247" s="54" t="n"/>
      <c r="BK247" s="54" t="n"/>
      <c r="BL247" s="54" t="n"/>
      <c r="BM247" s="54" t="n"/>
      <c r="BN247" s="54" t="n"/>
      <c r="BO247" s="54" t="n"/>
      <c r="BP247" s="54" t="n"/>
      <c r="BQ247" s="54" t="n"/>
      <c r="BR247" s="54" t="n"/>
      <c r="BS247" s="54" t="n"/>
      <c r="BT247" s="54" t="n"/>
      <c r="BU247" s="54" t="n"/>
    </row>
    <row r="248">
      <c r="AU248" s="54" t="n"/>
      <c r="AV248" s="54" t="n"/>
      <c r="AW248" s="54" t="n"/>
      <c r="AX248" s="54" t="n"/>
      <c r="AY248" s="54" t="n"/>
      <c r="AZ248" s="54" t="n"/>
      <c r="BA248" s="54" t="n"/>
      <c r="BB248" s="54" t="n"/>
      <c r="BC248" s="54" t="n"/>
      <c r="BD248" s="54" t="n"/>
      <c r="BE248" s="54" t="n"/>
      <c r="BF248" s="54" t="n"/>
      <c r="BG248" s="54" t="n"/>
      <c r="BH248" s="54" t="n"/>
      <c r="BI248" s="54" t="n"/>
      <c r="BJ248" s="54" t="n"/>
      <c r="BK248" s="54" t="n"/>
      <c r="BL248" s="54" t="n"/>
      <c r="BM248" s="54" t="n"/>
      <c r="BN248" s="54" t="n"/>
      <c r="BO248" s="54" t="n"/>
      <c r="BP248" s="54" t="n"/>
      <c r="BQ248" s="54" t="n"/>
      <c r="BR248" s="54" t="n"/>
      <c r="BS248" s="54" t="n"/>
      <c r="BT248" s="54" t="n"/>
      <c r="BU248" s="54" t="n"/>
    </row>
    <row r="249">
      <c r="AU249" s="54" t="n"/>
      <c r="AV249" s="54" t="n"/>
      <c r="AW249" s="54" t="n"/>
      <c r="AX249" s="54" t="n"/>
      <c r="AY249" s="54" t="n"/>
      <c r="AZ249" s="54" t="n"/>
      <c r="BA249" s="54" t="n"/>
      <c r="BB249" s="54" t="n"/>
      <c r="BC249" s="54" t="n"/>
      <c r="BD249" s="54" t="n"/>
      <c r="BE249" s="54" t="n"/>
      <c r="BF249" s="54" t="n"/>
      <c r="BG249" s="54" t="n"/>
      <c r="BH249" s="54" t="n"/>
      <c r="BI249" s="54" t="n"/>
      <c r="BJ249" s="54" t="n"/>
      <c r="BK249" s="54" t="n"/>
      <c r="BL249" s="54" t="n"/>
      <c r="BM249" s="54" t="n"/>
      <c r="BN249" s="54" t="n"/>
      <c r="BO249" s="54" t="n"/>
      <c r="BP249" s="54" t="n"/>
      <c r="BQ249" s="54" t="n"/>
      <c r="BR249" s="54" t="n"/>
      <c r="BS249" s="54" t="n"/>
      <c r="BT249" s="54" t="n"/>
      <c r="BU249" s="54" t="n"/>
    </row>
    <row r="250">
      <c r="AU250" s="54" t="n"/>
      <c r="AV250" s="54" t="n"/>
      <c r="AW250" s="54" t="n"/>
      <c r="AX250" s="54" t="n"/>
      <c r="AY250" s="54" t="n"/>
      <c r="AZ250" s="54" t="n"/>
      <c r="BA250" s="54" t="n"/>
      <c r="BB250" s="54" t="n"/>
      <c r="BC250" s="54" t="n"/>
      <c r="BD250" s="54" t="n"/>
      <c r="BE250" s="54" t="n"/>
      <c r="BF250" s="54" t="n"/>
      <c r="BG250" s="54" t="n"/>
      <c r="BH250" s="54" t="n"/>
      <c r="BI250" s="54" t="n"/>
      <c r="BJ250" s="54" t="n"/>
      <c r="BK250" s="54" t="n"/>
      <c r="BL250" s="54" t="n"/>
      <c r="BM250" s="54" t="n"/>
      <c r="BN250" s="54" t="n"/>
      <c r="BO250" s="54" t="n"/>
      <c r="BP250" s="54" t="n"/>
      <c r="BQ250" s="54" t="n"/>
      <c r="BR250" s="54" t="n"/>
      <c r="BS250" s="54" t="n"/>
      <c r="BT250" s="54" t="n"/>
      <c r="BU250" s="54" t="n"/>
    </row>
    <row r="251">
      <c r="AU251" s="54" t="n"/>
      <c r="AV251" s="54" t="n"/>
      <c r="AW251" s="54" t="n"/>
      <c r="AX251" s="54" t="n"/>
      <c r="AY251" s="54" t="n"/>
      <c r="AZ251" s="54" t="n"/>
      <c r="BA251" s="54" t="n"/>
      <c r="BB251" s="54" t="n"/>
      <c r="BC251" s="54" t="n"/>
      <c r="BD251" s="54" t="n"/>
      <c r="BE251" s="54" t="n"/>
      <c r="BF251" s="54" t="n"/>
      <c r="BG251" s="54" t="n"/>
      <c r="BH251" s="54" t="n"/>
      <c r="BI251" s="54" t="n"/>
      <c r="BJ251" s="54" t="n"/>
      <c r="BK251" s="54" t="n"/>
      <c r="BL251" s="54" t="n"/>
      <c r="BM251" s="54" t="n"/>
      <c r="BN251" s="54" t="n"/>
      <c r="BO251" s="54" t="n"/>
      <c r="BP251" s="54" t="n"/>
      <c r="BQ251" s="54" t="n"/>
      <c r="BR251" s="54" t="n"/>
      <c r="BS251" s="54" t="n"/>
      <c r="BT251" s="54" t="n"/>
      <c r="BU251" s="54" t="n"/>
    </row>
    <row r="252">
      <c r="AU252" s="54" t="n"/>
      <c r="AV252" s="54" t="n"/>
      <c r="AW252" s="54" t="n"/>
      <c r="AX252" s="54" t="n"/>
      <c r="AY252" s="54" t="n"/>
      <c r="AZ252" s="54" t="n"/>
      <c r="BA252" s="54" t="n"/>
      <c r="BB252" s="54" t="n"/>
      <c r="BC252" s="54" t="n"/>
      <c r="BD252" s="54" t="n"/>
      <c r="BE252" s="54" t="n"/>
      <c r="BF252" s="54" t="n"/>
      <c r="BG252" s="54" t="n"/>
      <c r="BH252" s="54" t="n"/>
      <c r="BI252" s="54" t="n"/>
      <c r="BJ252" s="54" t="n"/>
      <c r="BK252" s="54" t="n"/>
      <c r="BL252" s="54" t="n"/>
      <c r="BM252" s="54" t="n"/>
      <c r="BN252" s="54" t="n"/>
      <c r="BO252" s="54" t="n"/>
      <c r="BP252" s="54" t="n"/>
      <c r="BQ252" s="54" t="n"/>
      <c r="BR252" s="54" t="n"/>
      <c r="BS252" s="54" t="n"/>
      <c r="BT252" s="54" t="n"/>
      <c r="BU252" s="54" t="n"/>
    </row>
    <row r="253">
      <c r="AU253" s="54" t="n"/>
      <c r="AV253" s="54" t="n"/>
      <c r="AW253" s="54" t="n"/>
      <c r="AX253" s="54" t="n"/>
      <c r="AY253" s="54" t="n"/>
      <c r="AZ253" s="54" t="n"/>
      <c r="BA253" s="54" t="n"/>
      <c r="BB253" s="54" t="n"/>
      <c r="BC253" s="54" t="n"/>
      <c r="BD253" s="54" t="n"/>
      <c r="BE253" s="54" t="n"/>
      <c r="BF253" s="54" t="n"/>
      <c r="BG253" s="54" t="n"/>
      <c r="BH253" s="54" t="n"/>
      <c r="BI253" s="54" t="n"/>
      <c r="BJ253" s="54" t="n"/>
      <c r="BK253" s="54" t="n"/>
      <c r="BL253" s="54" t="n"/>
      <c r="BM253" s="54" t="n"/>
      <c r="BN253" s="54" t="n"/>
      <c r="BO253" s="54" t="n"/>
      <c r="BP253" s="54" t="n"/>
      <c r="BQ253" s="54" t="n"/>
      <c r="BR253" s="54" t="n"/>
      <c r="BS253" s="54" t="n"/>
      <c r="BT253" s="54" t="n"/>
      <c r="BU253" s="54" t="n"/>
    </row>
    <row r="254">
      <c r="AU254" s="54" t="n"/>
      <c r="AV254" s="54" t="n"/>
      <c r="AW254" s="54" t="n"/>
      <c r="AX254" s="54" t="n"/>
      <c r="AY254" s="54" t="n"/>
      <c r="AZ254" s="54" t="n"/>
      <c r="BA254" s="54" t="n"/>
      <c r="BB254" s="54" t="n"/>
      <c r="BC254" s="54" t="n"/>
      <c r="BD254" s="54" t="n"/>
      <c r="BE254" s="54" t="n"/>
      <c r="BF254" s="54" t="n"/>
      <c r="BG254" s="54" t="n"/>
      <c r="BH254" s="54" t="n"/>
      <c r="BI254" s="54" t="n"/>
      <c r="BJ254" s="54" t="n"/>
      <c r="BK254" s="54" t="n"/>
      <c r="BL254" s="54" t="n"/>
      <c r="BM254" s="54" t="n"/>
      <c r="BN254" s="54" t="n"/>
      <c r="BO254" s="54" t="n"/>
      <c r="BP254" s="54" t="n"/>
      <c r="BQ254" s="54" t="n"/>
      <c r="BR254" s="54" t="n"/>
      <c r="BS254" s="54" t="n"/>
      <c r="BT254" s="54" t="n"/>
      <c r="BU254" s="54" t="n"/>
    </row>
    <row r="255">
      <c r="AU255" s="54" t="n"/>
      <c r="AV255" s="54" t="n"/>
      <c r="AW255" s="54" t="n"/>
      <c r="AX255" s="54" t="n"/>
      <c r="AY255" s="54" t="n"/>
      <c r="AZ255" s="54" t="n"/>
      <c r="BA255" s="54" t="n"/>
      <c r="BB255" s="54" t="n"/>
      <c r="BC255" s="54" t="n"/>
      <c r="BD255" s="54" t="n"/>
      <c r="BE255" s="54" t="n"/>
      <c r="BF255" s="54" t="n"/>
      <c r="BG255" s="54" t="n"/>
      <c r="BH255" s="54" t="n"/>
      <c r="BI255" s="54" t="n"/>
      <c r="BJ255" s="54" t="n"/>
      <c r="BK255" s="54" t="n"/>
      <c r="BL255" s="54" t="n"/>
      <c r="BM255" s="54" t="n"/>
      <c r="BN255" s="54" t="n"/>
      <c r="BO255" s="54" t="n"/>
      <c r="BP255" s="54" t="n"/>
      <c r="BQ255" s="54" t="n"/>
      <c r="BR255" s="54" t="n"/>
      <c r="BS255" s="54" t="n"/>
      <c r="BT255" s="54" t="n"/>
      <c r="BU255" s="54" t="n"/>
    </row>
    <row r="256">
      <c r="AU256" s="54" t="n"/>
      <c r="AV256" s="54" t="n"/>
      <c r="AW256" s="54" t="n"/>
      <c r="AX256" s="54" t="n"/>
      <c r="AY256" s="54" t="n"/>
      <c r="AZ256" s="54" t="n"/>
      <c r="BA256" s="54" t="n"/>
      <c r="BB256" s="54" t="n"/>
      <c r="BC256" s="54" t="n"/>
      <c r="BD256" s="54" t="n"/>
      <c r="BE256" s="54" t="n"/>
      <c r="BF256" s="54" t="n"/>
      <c r="BG256" s="54" t="n"/>
      <c r="BH256" s="54" t="n"/>
      <c r="BI256" s="54" t="n"/>
      <c r="BJ256" s="54" t="n"/>
      <c r="BK256" s="54" t="n"/>
      <c r="BL256" s="54" t="n"/>
      <c r="BM256" s="54" t="n"/>
      <c r="BN256" s="54" t="n"/>
      <c r="BO256" s="54" t="n"/>
      <c r="BP256" s="54" t="n"/>
      <c r="BQ256" s="54" t="n"/>
      <c r="BR256" s="54" t="n"/>
      <c r="BS256" s="54" t="n"/>
      <c r="BT256" s="54" t="n"/>
      <c r="BU256" s="54" t="n"/>
    </row>
    <row r="257">
      <c r="AU257" s="54" t="n"/>
      <c r="AV257" s="54" t="n"/>
      <c r="AW257" s="54" t="n"/>
      <c r="AX257" s="54" t="n"/>
      <c r="AY257" s="54" t="n"/>
      <c r="AZ257" s="54" t="n"/>
      <c r="BA257" s="54" t="n"/>
      <c r="BB257" s="54" t="n"/>
      <c r="BC257" s="54" t="n"/>
      <c r="BD257" s="54" t="n"/>
      <c r="BE257" s="54" t="n"/>
      <c r="BF257" s="54" t="n"/>
      <c r="BG257" s="54" t="n"/>
      <c r="BH257" s="54" t="n"/>
      <c r="BI257" s="54" t="n"/>
      <c r="BJ257" s="54" t="n"/>
      <c r="BK257" s="54" t="n"/>
      <c r="BL257" s="54" t="n"/>
      <c r="BM257" s="54" t="n"/>
      <c r="BN257" s="54" t="n"/>
      <c r="BO257" s="54" t="n"/>
      <c r="BP257" s="54" t="n"/>
      <c r="BQ257" s="54" t="n"/>
      <c r="BR257" s="54" t="n"/>
      <c r="BS257" s="54" t="n"/>
      <c r="BT257" s="54" t="n"/>
      <c r="BU257" s="54" t="n"/>
    </row>
    <row r="258">
      <c r="AU258" s="54" t="n"/>
      <c r="AV258" s="54" t="n"/>
      <c r="AW258" s="54" t="n"/>
      <c r="AX258" s="54" t="n"/>
      <c r="AY258" s="54" t="n"/>
      <c r="AZ258" s="54" t="n"/>
      <c r="BA258" s="54" t="n"/>
      <c r="BB258" s="54" t="n"/>
      <c r="BC258" s="54" t="n"/>
      <c r="BD258" s="54" t="n"/>
      <c r="BE258" s="54" t="n"/>
      <c r="BF258" s="54" t="n"/>
      <c r="BG258" s="54" t="n"/>
      <c r="BH258" s="54" t="n"/>
      <c r="BI258" s="54" t="n"/>
      <c r="BJ258" s="54" t="n"/>
      <c r="BK258" s="54" t="n"/>
      <c r="BL258" s="54" t="n"/>
      <c r="BM258" s="54" t="n"/>
      <c r="BN258" s="54" t="n"/>
      <c r="BO258" s="54" t="n"/>
      <c r="BP258" s="54" t="n"/>
      <c r="BQ258" s="54" t="n"/>
      <c r="BR258" s="54" t="n"/>
      <c r="BS258" s="54" t="n"/>
      <c r="BT258" s="54" t="n"/>
      <c r="BU258" s="54" t="n"/>
    </row>
    <row r="259">
      <c r="AU259" s="54" t="n"/>
      <c r="AV259" s="54" t="n"/>
      <c r="AW259" s="54" t="n"/>
      <c r="AX259" s="54" t="n"/>
      <c r="AY259" s="54" t="n"/>
      <c r="AZ259" s="54" t="n"/>
      <c r="BA259" s="54" t="n"/>
      <c r="BB259" s="54" t="n"/>
      <c r="BC259" s="54" t="n"/>
      <c r="BD259" s="54" t="n"/>
      <c r="BE259" s="54" t="n"/>
      <c r="BF259" s="54" t="n"/>
      <c r="BG259" s="54" t="n"/>
      <c r="BH259" s="54" t="n"/>
      <c r="BI259" s="54" t="n"/>
      <c r="BJ259" s="54" t="n"/>
      <c r="BK259" s="54" t="n"/>
      <c r="BL259" s="54" t="n"/>
      <c r="BM259" s="54" t="n"/>
      <c r="BN259" s="54" t="n"/>
      <c r="BO259" s="54" t="n"/>
      <c r="BP259" s="54" t="n"/>
      <c r="BQ259" s="54" t="n"/>
      <c r="BR259" s="54" t="n"/>
      <c r="BS259" s="54" t="n"/>
      <c r="BT259" s="54" t="n"/>
      <c r="BU259" s="54" t="n"/>
    </row>
    <row r="260">
      <c r="AU260" s="54" t="n"/>
      <c r="AV260" s="54" t="n"/>
      <c r="AW260" s="54" t="n"/>
      <c r="AX260" s="54" t="n"/>
      <c r="AY260" s="54" t="n"/>
      <c r="AZ260" s="54" t="n"/>
      <c r="BA260" s="54" t="n"/>
      <c r="BB260" s="54" t="n"/>
      <c r="BC260" s="54" t="n"/>
      <c r="BD260" s="54" t="n"/>
      <c r="BE260" s="54" t="n"/>
      <c r="BF260" s="54" t="n"/>
      <c r="BG260" s="54" t="n"/>
      <c r="BH260" s="54" t="n"/>
      <c r="BI260" s="54" t="n"/>
      <c r="BJ260" s="54" t="n"/>
      <c r="BK260" s="54" t="n"/>
      <c r="BL260" s="54" t="n"/>
      <c r="BM260" s="54" t="n"/>
      <c r="BN260" s="54" t="n"/>
      <c r="BO260" s="54" t="n"/>
      <c r="BP260" s="54" t="n"/>
      <c r="BQ260" s="54" t="n"/>
      <c r="BR260" s="54" t="n"/>
      <c r="BS260" s="54" t="n"/>
      <c r="BT260" s="54" t="n"/>
      <c r="BU260" s="54" t="n"/>
    </row>
    <row r="261">
      <c r="AU261" s="54" t="n"/>
      <c r="AV261" s="54" t="n"/>
      <c r="AW261" s="54" t="n"/>
      <c r="AX261" s="54" t="n"/>
      <c r="AY261" s="54" t="n"/>
      <c r="AZ261" s="54" t="n"/>
      <c r="BA261" s="54" t="n"/>
      <c r="BB261" s="54" t="n"/>
      <c r="BC261" s="54" t="n"/>
      <c r="BD261" s="54" t="n"/>
      <c r="BE261" s="54" t="n"/>
      <c r="BF261" s="54" t="n"/>
      <c r="BG261" s="54" t="n"/>
      <c r="BH261" s="54" t="n"/>
      <c r="BI261" s="54" t="n"/>
      <c r="BJ261" s="54" t="n"/>
      <c r="BK261" s="54" t="n"/>
      <c r="BL261" s="54" t="n"/>
      <c r="BM261" s="54" t="n"/>
      <c r="BN261" s="54" t="n"/>
      <c r="BO261" s="54" t="n"/>
      <c r="BP261" s="54" t="n"/>
      <c r="BQ261" s="54" t="n"/>
      <c r="BR261" s="54" t="n"/>
      <c r="BS261" s="54" t="n"/>
      <c r="BT261" s="54" t="n"/>
      <c r="BU261" s="54" t="n"/>
    </row>
    <row r="262">
      <c r="AU262" s="54" t="n"/>
      <c r="AV262" s="54" t="n"/>
      <c r="AW262" s="54" t="n"/>
      <c r="AX262" s="54" t="n"/>
      <c r="AY262" s="54" t="n"/>
      <c r="AZ262" s="54" t="n"/>
      <c r="BA262" s="54" t="n"/>
      <c r="BB262" s="54" t="n"/>
      <c r="BC262" s="54" t="n"/>
      <c r="BD262" s="54" t="n"/>
      <c r="BE262" s="54" t="n"/>
      <c r="BF262" s="54" t="n"/>
      <c r="BG262" s="54" t="n"/>
      <c r="BH262" s="54" t="n"/>
      <c r="BI262" s="54" t="n"/>
      <c r="BJ262" s="54" t="n"/>
      <c r="BK262" s="54" t="n"/>
      <c r="BL262" s="54" t="n"/>
      <c r="BM262" s="54" t="n"/>
      <c r="BN262" s="54" t="n"/>
      <c r="BO262" s="54" t="n"/>
      <c r="BP262" s="54" t="n"/>
      <c r="BQ262" s="54" t="n"/>
      <c r="BR262" s="54" t="n"/>
      <c r="BS262" s="54" t="n"/>
      <c r="BT262" s="54" t="n"/>
      <c r="BU262" s="54" t="n"/>
    </row>
    <row r="263">
      <c r="AU263" s="54" t="n"/>
      <c r="AV263" s="54" t="n"/>
      <c r="AW263" s="54" t="n"/>
      <c r="AX263" s="54" t="n"/>
      <c r="AY263" s="54" t="n"/>
      <c r="AZ263" s="54" t="n"/>
      <c r="BA263" s="54" t="n"/>
      <c r="BB263" s="54" t="n"/>
      <c r="BC263" s="54" t="n"/>
      <c r="BD263" s="54" t="n"/>
      <c r="BE263" s="54" t="n"/>
      <c r="BF263" s="54" t="n"/>
      <c r="BG263" s="54" t="n"/>
      <c r="BH263" s="54" t="n"/>
      <c r="BI263" s="54" t="n"/>
      <c r="BJ263" s="54" t="n"/>
      <c r="BK263" s="54" t="n"/>
      <c r="BL263" s="54" t="n"/>
      <c r="BM263" s="54" t="n"/>
      <c r="BN263" s="54" t="n"/>
      <c r="BO263" s="54" t="n"/>
      <c r="BP263" s="54" t="n"/>
      <c r="BQ263" s="54" t="n"/>
      <c r="BR263" s="54" t="n"/>
      <c r="BS263" s="54" t="n"/>
      <c r="BT263" s="54" t="n"/>
      <c r="BU263" s="54" t="n"/>
    </row>
    <row r="264">
      <c r="AU264" s="54" t="n"/>
      <c r="AV264" s="54" t="n"/>
      <c r="AW264" s="54" t="n"/>
      <c r="AX264" s="54" t="n"/>
      <c r="AY264" s="54" t="n"/>
      <c r="AZ264" s="54" t="n"/>
      <c r="BA264" s="54" t="n"/>
      <c r="BB264" s="54" t="n"/>
      <c r="BC264" s="54" t="n"/>
      <c r="BD264" s="54" t="n"/>
      <c r="BE264" s="54" t="n"/>
      <c r="BF264" s="54" t="n"/>
      <c r="BG264" s="54" t="n"/>
      <c r="BH264" s="54" t="n"/>
      <c r="BI264" s="54" t="n"/>
      <c r="BJ264" s="54" t="n"/>
      <c r="BK264" s="54" t="n"/>
      <c r="BL264" s="54" t="n"/>
      <c r="BM264" s="54" t="n"/>
      <c r="BN264" s="54" t="n"/>
      <c r="BO264" s="54" t="n"/>
      <c r="BP264" s="54" t="n"/>
      <c r="BQ264" s="54" t="n"/>
      <c r="BR264" s="54" t="n"/>
      <c r="BS264" s="54" t="n"/>
      <c r="BT264" s="54" t="n"/>
      <c r="BU264" s="54" t="n"/>
    </row>
    <row r="265">
      <c r="AU265" s="54" t="n"/>
      <c r="AV265" s="54" t="n"/>
      <c r="AW265" s="54" t="n"/>
      <c r="AX265" s="54" t="n"/>
      <c r="AY265" s="54" t="n"/>
      <c r="AZ265" s="54" t="n"/>
      <c r="BA265" s="54" t="n"/>
      <c r="BB265" s="54" t="n"/>
      <c r="BC265" s="54" t="n"/>
      <c r="BD265" s="54" t="n"/>
      <c r="BE265" s="54" t="n"/>
      <c r="BF265" s="54" t="n"/>
      <c r="BG265" s="54" t="n"/>
      <c r="BH265" s="54" t="n"/>
      <c r="BI265" s="54" t="n"/>
      <c r="BJ265" s="54" t="n"/>
      <c r="BK265" s="54" t="n"/>
      <c r="BL265" s="54" t="n"/>
      <c r="BM265" s="54" t="n"/>
      <c r="BN265" s="54" t="n"/>
      <c r="BO265" s="54" t="n"/>
      <c r="BP265" s="54" t="n"/>
      <c r="BQ265" s="54" t="n"/>
      <c r="BR265" s="54" t="n"/>
      <c r="BS265" s="54" t="n"/>
      <c r="BT265" s="54" t="n"/>
      <c r="BU265" s="54" t="n"/>
    </row>
    <row r="266">
      <c r="AU266" s="54" t="n"/>
      <c r="AV266" s="54" t="n"/>
      <c r="AW266" s="54" t="n"/>
      <c r="AX266" s="54" t="n"/>
      <c r="AY266" s="54" t="n"/>
      <c r="AZ266" s="54" t="n"/>
      <c r="BA266" s="54" t="n"/>
      <c r="BB266" s="54" t="n"/>
      <c r="BC266" s="54" t="n"/>
      <c r="BD266" s="54" t="n"/>
      <c r="BE266" s="54" t="n"/>
      <c r="BF266" s="54" t="n"/>
      <c r="BG266" s="54" t="n"/>
      <c r="BH266" s="54" t="n"/>
      <c r="BI266" s="54" t="n"/>
      <c r="BJ266" s="54" t="n"/>
      <c r="BK266" s="54" t="n"/>
      <c r="BL266" s="54" t="n"/>
      <c r="BM266" s="54" t="n"/>
      <c r="BN266" s="54" t="n"/>
      <c r="BO266" s="54" t="n"/>
      <c r="BP266" s="54" t="n"/>
      <c r="BQ266" s="54" t="n"/>
      <c r="BR266" s="54" t="n"/>
      <c r="BS266" s="54" t="n"/>
      <c r="BT266" s="54" t="n"/>
      <c r="BU266" s="54" t="n"/>
    </row>
  </sheetData>
  <mergeCells count="7">
    <mergeCell ref="AC1:AE1"/>
    <mergeCell ref="AG1:AO1"/>
    <mergeCell ref="L1:Q1"/>
    <mergeCell ref="AQ1:AS1"/>
    <mergeCell ref="S1:W1"/>
    <mergeCell ref="Y1:AB1"/>
    <mergeCell ref="D1:I1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3"/>
  <sheetViews>
    <sheetView rightToLeft="1" zoomScaleNormal="100" workbookViewId="0">
      <pane ySplit="1" topLeftCell="A2" activePane="bottomLeft" state="frozen"/>
      <selection activeCell="L1" sqref="L1"/>
      <selection pane="bottomLeft" activeCell="A1" sqref="A1"/>
    </sheetView>
  </sheetViews>
  <sheetFormatPr baseColWidth="8" defaultColWidth="25.7109375" defaultRowHeight="18.75"/>
  <cols>
    <col width="43" bestFit="1" customWidth="1" style="14" min="1" max="1"/>
    <col width="13.42578125" bestFit="1" customWidth="1" style="14" min="2" max="2"/>
    <col width="13" bestFit="1" customWidth="1" style="14" min="3" max="3"/>
    <col width="12.85546875" bestFit="1" customWidth="1" style="14" min="4" max="4"/>
    <col width="16.5703125" bestFit="1" customWidth="1" style="14" min="5" max="5"/>
    <col width="44.7109375" bestFit="1" customWidth="1" style="14" min="6" max="6"/>
    <col width="99.7109375" bestFit="1" customWidth="1" style="14" min="7" max="7"/>
    <col width="27.85546875" bestFit="1" customWidth="1" style="14" min="8" max="8"/>
    <col width="33.140625" bestFit="1" customWidth="1" style="14" min="9" max="9"/>
    <col width="47" bestFit="1" customWidth="1" style="14" min="10" max="10"/>
    <col width="18.140625" bestFit="1" customWidth="1" style="14" min="11" max="11"/>
    <col width="18" bestFit="1" customWidth="1" style="14" min="12" max="12"/>
    <col width="19.85546875" bestFit="1" customWidth="1" style="14" min="13" max="13"/>
    <col width="19.7109375" bestFit="1" customWidth="1" style="14" min="14" max="14"/>
    <col width="13.42578125" bestFit="1" customWidth="1" style="14" min="15" max="15"/>
    <col width="11.42578125" bestFit="1" customWidth="1" style="14" min="16" max="16"/>
    <col width="24.85546875" bestFit="1" customWidth="1" style="14" min="17" max="17"/>
    <col width="11" bestFit="1" customWidth="1" style="14" min="18" max="18"/>
    <col width="22.140625" bestFit="1" customWidth="1" style="14" min="19" max="19"/>
    <col width="20" bestFit="1" customWidth="1" style="14" min="20" max="20"/>
    <col width="22.85546875" bestFit="1" customWidth="1" style="14" min="21" max="21"/>
    <col width="25.7109375" customWidth="1" style="14" min="22" max="16384"/>
  </cols>
  <sheetData>
    <row r="1">
      <c r="A1" s="101" t="inlineStr">
        <is>
          <t>Source.Name</t>
        </is>
      </c>
      <c r="B1" s="14" t="inlineStr">
        <is>
          <t>مشاريع سموه</t>
        </is>
      </c>
      <c r="C1" s="14" t="inlineStr">
        <is>
          <t>مدير المشروع</t>
        </is>
      </c>
      <c r="D1" s="14" t="inlineStr">
        <is>
          <t>اسم المشروع</t>
        </is>
      </c>
      <c r="E1" s="14" t="inlineStr">
        <is>
          <t>نبذة حول المشروع</t>
        </is>
      </c>
      <c r="F1" s="14" t="inlineStr">
        <is>
          <t>الجهة المعنية</t>
        </is>
      </c>
      <c r="G1" s="101" t="inlineStr">
        <is>
          <t>الجهات المساهمة</t>
        </is>
      </c>
      <c r="H1" s="14" t="inlineStr">
        <is>
          <t>القطاع</t>
        </is>
      </c>
      <c r="I1" s="14" t="inlineStr">
        <is>
          <t xml:space="preserve">الإدارة </t>
        </is>
      </c>
      <c r="J1" s="14" t="inlineStr">
        <is>
          <t>إدارات مساهمة</t>
        </is>
      </c>
      <c r="K1" s="14" t="inlineStr">
        <is>
          <t>بدء المشروع (الشهر)</t>
        </is>
      </c>
      <c r="L1" s="14" t="inlineStr">
        <is>
          <t>بدء المشروع (السنة)</t>
        </is>
      </c>
      <c r="M1" s="14" t="inlineStr">
        <is>
          <t>انتهاء المشروع (الشهر)</t>
        </is>
      </c>
      <c r="N1" s="14" t="inlineStr">
        <is>
          <t>انتهاء المشروع (السنة)</t>
        </is>
      </c>
      <c r="O1" s="14" t="inlineStr">
        <is>
          <t>مستوى الإنجاز</t>
        </is>
      </c>
      <c r="P1" s="14" t="inlineStr">
        <is>
          <t>نسبة الإنجاز</t>
        </is>
      </c>
      <c r="Q1" s="101" t="inlineStr">
        <is>
          <t>الميزانية المخصصة إن وجدت</t>
        </is>
      </c>
      <c r="R1" s="14" t="inlineStr">
        <is>
          <t>المنجز للآن</t>
        </is>
      </c>
      <c r="S1" s="14" t="inlineStr">
        <is>
          <t>المخطط في المرحلة المقبلة</t>
        </is>
      </c>
      <c r="T1" s="14" t="inlineStr">
        <is>
          <t>ملاحظات مدير المشروع</t>
        </is>
      </c>
      <c r="U1" s="14" t="inlineStr">
        <is>
          <t>توصيات إدارة الأداء والتنفيذ</t>
        </is>
      </c>
    </row>
    <row r="2">
      <c r="A2" s="101" t="inlineStr">
        <is>
          <t>DP_Office_Performace_Tracker.xlsx</t>
        </is>
      </c>
      <c r="B2" s="14" t="inlineStr">
        <is>
          <t>لا</t>
        </is>
      </c>
      <c r="C2" t="inlineStr">
        <is>
          <t>مدير توضيحي 2</t>
        </is>
      </c>
      <c r="D2" t="inlineStr">
        <is>
          <t>مشروع خاص توضيحي 001</t>
        </is>
      </c>
      <c r="F2" s="14" t="inlineStr">
        <is>
          <t>الأمانة العامة للمجلس التنفيذي</t>
        </is>
      </c>
      <c r="G2" s="101" t="n"/>
      <c r="H2" s="14" t="inlineStr">
        <is>
          <t>الأمانة العامة للمجلس التنفيذي</t>
        </is>
      </c>
      <c r="I2" s="14" t="inlineStr">
        <is>
          <t>مكتب خطة دبي</t>
        </is>
      </c>
      <c r="K2" s="14" t="inlineStr">
        <is>
          <t>يناير</t>
        </is>
      </c>
      <c r="L2" s="14" t="n">
        <v>2026</v>
      </c>
      <c r="M2" s="14" t="inlineStr">
        <is>
          <t>يونيو</t>
        </is>
      </c>
      <c r="N2" s="14" t="n">
        <v>2026</v>
      </c>
      <c r="O2" s="14" t="inlineStr">
        <is>
          <t>منجز</t>
        </is>
      </c>
      <c r="P2" s="14" t="n">
        <v>1</v>
      </c>
      <c r="Q2" s="101" t="n"/>
    </row>
    <row r="3">
      <c r="A3" s="101" t="inlineStr">
        <is>
          <t>DP_Office_Performace_Tracker.xlsx</t>
        </is>
      </c>
      <c r="B3" s="14" t="inlineStr">
        <is>
          <t>لا</t>
        </is>
      </c>
      <c r="C3" t="inlineStr">
        <is>
          <t>مدير توضيحي 3</t>
        </is>
      </c>
      <c r="D3" t="inlineStr">
        <is>
          <t>مشروع خاص توضيحي 002</t>
        </is>
      </c>
      <c r="F3" s="14" t="inlineStr">
        <is>
          <t>الأمانة العامة للمجلس التنفيذي</t>
        </is>
      </c>
      <c r="G3" s="101" t="n"/>
      <c r="H3" s="14" t="inlineStr">
        <is>
          <t>الأمانة العامة للمجلس التنفيذي</t>
        </is>
      </c>
      <c r="I3" s="14" t="inlineStr">
        <is>
          <t>مكتب خطة دبي</t>
        </is>
      </c>
      <c r="K3" s="14" t="inlineStr">
        <is>
          <t>فبراير</t>
        </is>
      </c>
      <c r="L3" s="14" t="n">
        <v>2026</v>
      </c>
      <c r="M3" s="14" t="inlineStr">
        <is>
          <t>أكتوبر</t>
        </is>
      </c>
      <c r="N3" s="14" t="n">
        <v>2026</v>
      </c>
      <c r="O3" s="14" t="inlineStr">
        <is>
          <t>قيد المراجعة</t>
        </is>
      </c>
      <c r="P3" s="14" t="n">
        <v>0.95</v>
      </c>
      <c r="Q3" s="101" t="n"/>
    </row>
    <row r="4">
      <c r="A4" s="101" t="inlineStr">
        <is>
          <t>DP_Office_Performace_Tracker.xlsx</t>
        </is>
      </c>
      <c r="B4" s="14" t="inlineStr">
        <is>
          <t>لا</t>
        </is>
      </c>
      <c r="C4" t="inlineStr">
        <is>
          <t>مدير توضيحي 1</t>
        </is>
      </c>
      <c r="D4" t="inlineStr">
        <is>
          <t>مشروع خاص توضيحي 003</t>
        </is>
      </c>
      <c r="F4" s="14" t="inlineStr">
        <is>
          <t>الأمانة العامة للمجلس التنفيذي</t>
        </is>
      </c>
      <c r="G4" s="101" t="n"/>
      <c r="H4" s="14" t="inlineStr">
        <is>
          <t>الأمانة العامة للمجلس التنفيذي</t>
        </is>
      </c>
      <c r="I4" s="14" t="inlineStr">
        <is>
          <t>مكتب خطة دبي</t>
        </is>
      </c>
      <c r="K4" s="14" t="inlineStr">
        <is>
          <t>سبتمبر</t>
        </is>
      </c>
      <c r="L4" s="14" t="n">
        <v>2026</v>
      </c>
      <c r="M4" s="14" t="inlineStr">
        <is>
          <t>ديسمبر</t>
        </is>
      </c>
      <c r="N4" s="14" t="n">
        <v>2026</v>
      </c>
      <c r="O4" s="14" t="inlineStr">
        <is>
          <t>قيد التطوير</t>
        </is>
      </c>
      <c r="P4" s="14" t="n">
        <v>0.3</v>
      </c>
      <c r="Q4" s="101" t="n"/>
    </row>
    <row r="5">
      <c r="A5" s="101" t="inlineStr">
        <is>
          <t>DP_Office_Performace_Tracker.xlsx</t>
        </is>
      </c>
      <c r="B5" s="14" t="inlineStr">
        <is>
          <t>لا</t>
        </is>
      </c>
      <c r="C5" t="inlineStr">
        <is>
          <t>مدير توضيحي 2</t>
        </is>
      </c>
      <c r="D5" t="inlineStr">
        <is>
          <t>مشروع خاص توضيحي 004</t>
        </is>
      </c>
      <c r="F5" s="14" t="inlineStr">
        <is>
          <t>الأمانة العامة للمجلس التنفيذي</t>
        </is>
      </c>
      <c r="G5" s="101" t="n"/>
      <c r="H5" s="14" t="inlineStr">
        <is>
          <t>الأمانة العامة للمجلس التنفيذي</t>
        </is>
      </c>
      <c r="I5" s="14" t="inlineStr">
        <is>
          <t>مكتب خطة دبي</t>
        </is>
      </c>
      <c r="K5" s="14" t="inlineStr">
        <is>
          <t>سبتمبر</t>
        </is>
      </c>
      <c r="L5" s="14" t="n">
        <v>2026</v>
      </c>
      <c r="M5" s="14" t="inlineStr">
        <is>
          <t>يونيو</t>
        </is>
      </c>
      <c r="N5" s="14" t="n">
        <v>2027</v>
      </c>
      <c r="O5" s="14" t="inlineStr">
        <is>
          <t>قيد التطوير</t>
        </is>
      </c>
      <c r="P5" s="14" t="n">
        <v>0.05</v>
      </c>
      <c r="Q5" s="101" t="n"/>
    </row>
    <row r="6">
      <c r="A6" s="101" t="inlineStr">
        <is>
          <t>DP_Office_Performace_Tracker.xlsx</t>
        </is>
      </c>
      <c r="B6" s="14" t="inlineStr">
        <is>
          <t>لا</t>
        </is>
      </c>
      <c r="C6" t="inlineStr">
        <is>
          <t>مدير توضيحي 3</t>
        </is>
      </c>
      <c r="D6" t="inlineStr">
        <is>
          <t>مشروع خاص توضيحي 005</t>
        </is>
      </c>
      <c r="F6" s="14" t="inlineStr">
        <is>
          <t>الأمانة العامة للمجلس التنفيذي</t>
        </is>
      </c>
      <c r="G6" s="101" t="n"/>
      <c r="H6" s="14" t="inlineStr">
        <is>
          <t>الأمانة العامة للمجلس التنفيذي</t>
        </is>
      </c>
      <c r="I6" s="14" t="inlineStr">
        <is>
          <t>مكتب خطة دبي</t>
        </is>
      </c>
      <c r="K6" s="14" t="inlineStr">
        <is>
          <t>يوليو</t>
        </is>
      </c>
      <c r="L6" s="14" t="n">
        <v>2026</v>
      </c>
      <c r="M6" s="14" t="inlineStr">
        <is>
          <t>سبتمبر</t>
        </is>
      </c>
      <c r="N6" s="14" t="n">
        <v>2026</v>
      </c>
      <c r="O6" s="14" t="inlineStr">
        <is>
          <t>قيد المراجعة</t>
        </is>
      </c>
      <c r="P6" s="14" t="n">
        <v>1</v>
      </c>
      <c r="Q6" s="101" t="n"/>
    </row>
    <row r="7">
      <c r="A7" s="101" t="inlineStr">
        <is>
          <t>DP_Office_Performace_Tracker.xlsx</t>
        </is>
      </c>
      <c r="B7" s="14" t="inlineStr">
        <is>
          <t>لا</t>
        </is>
      </c>
      <c r="C7" t="inlineStr">
        <is>
          <t>مدير توضيحي 1</t>
        </is>
      </c>
      <c r="D7" t="inlineStr">
        <is>
          <t>مشروع خاص توضيحي 006</t>
        </is>
      </c>
      <c r="F7" s="14" t="inlineStr">
        <is>
          <t>الأمانة العامة للمجلس التنفيذي</t>
        </is>
      </c>
      <c r="G7" s="101" t="n"/>
      <c r="H7" s="14" t="inlineStr">
        <is>
          <t>الأمانة العامة للمجلس التنفيذي</t>
        </is>
      </c>
      <c r="I7" s="14" t="inlineStr">
        <is>
          <t>مكتب خطة دبي</t>
        </is>
      </c>
      <c r="K7" s="14" t="inlineStr">
        <is>
          <t>سبتمبر</t>
        </is>
      </c>
      <c r="L7" s="14" t="n">
        <v>2026</v>
      </c>
      <c r="M7" s="14" t="inlineStr">
        <is>
          <t>يوليو</t>
        </is>
      </c>
      <c r="N7" s="14" t="n">
        <v>2027</v>
      </c>
      <c r="O7" s="14" t="inlineStr">
        <is>
          <t>قيد التطوير</t>
        </is>
      </c>
      <c r="P7" s="14" t="n">
        <v>0.1</v>
      </c>
      <c r="Q7" s="101" t="n"/>
    </row>
    <row r="8">
      <c r="A8" s="101" t="inlineStr">
        <is>
          <t>DP_Office_Performace_Tracker.xlsx</t>
        </is>
      </c>
      <c r="B8" s="14" t="inlineStr">
        <is>
          <t>لا</t>
        </is>
      </c>
      <c r="C8" t="inlineStr">
        <is>
          <t>مدير توضيحي 2</t>
        </is>
      </c>
      <c r="D8" t="inlineStr">
        <is>
          <t>مشروع خاص توضيحي 007</t>
        </is>
      </c>
      <c r="F8" s="14" t="inlineStr">
        <is>
          <t>الأمانة العامة للمجلس التنفيذي</t>
        </is>
      </c>
      <c r="G8" s="101" t="n"/>
      <c r="H8" s="14" t="inlineStr">
        <is>
          <t>الأمانة العامة للمجلس التنفيذي</t>
        </is>
      </c>
      <c r="I8" s="14" t="inlineStr">
        <is>
          <t>مكتب خطة دبي</t>
        </is>
      </c>
      <c r="Q8" s="101" t="n"/>
    </row>
    <row r="9">
      <c r="A9" s="101" t="inlineStr">
        <is>
          <t>DP_Office_Performace_Tracker.xlsx</t>
        </is>
      </c>
      <c r="B9" s="14" t="inlineStr">
        <is>
          <t>لا</t>
        </is>
      </c>
      <c r="C9" t="inlineStr">
        <is>
          <t>مدير توضيحي 3</t>
        </is>
      </c>
      <c r="D9" t="inlineStr">
        <is>
          <t>مشروع خاص توضيحي 008</t>
        </is>
      </c>
      <c r="F9" s="14" t="inlineStr">
        <is>
          <t>الأمانة العامة للمجلس التنفيذي</t>
        </is>
      </c>
      <c r="G9" s="101" t="n"/>
      <c r="H9" s="14" t="inlineStr">
        <is>
          <t>الأمانة العامة للمجلس التنفيذي</t>
        </is>
      </c>
      <c r="I9" s="14" t="inlineStr">
        <is>
          <t>مكتب خطة دبي</t>
        </is>
      </c>
      <c r="K9" s="14" t="inlineStr">
        <is>
          <t>أكتوبر</t>
        </is>
      </c>
      <c r="L9" s="14" t="n">
        <v>2026</v>
      </c>
      <c r="M9" s="14" t="inlineStr">
        <is>
          <t>أبريل</t>
        </is>
      </c>
      <c r="N9" s="14" t="n">
        <v>2027</v>
      </c>
      <c r="O9" s="14" t="inlineStr">
        <is>
          <t>قيد التطوير</t>
        </is>
      </c>
      <c r="P9" s="14" t="n">
        <v>0</v>
      </c>
      <c r="Q9" s="101" t="n"/>
    </row>
    <row r="10">
      <c r="A10" s="101" t="inlineStr">
        <is>
          <t>DP_Office_Performace_Tracker.xlsx</t>
        </is>
      </c>
      <c r="B10" s="14" t="inlineStr">
        <is>
          <t>لا</t>
        </is>
      </c>
      <c r="C10" t="inlineStr">
        <is>
          <t>مدير توضيحي 1</t>
        </is>
      </c>
      <c r="D10" t="inlineStr">
        <is>
          <t>مشروع خاص توضيحي 009</t>
        </is>
      </c>
      <c r="F10" s="14" t="inlineStr">
        <is>
          <t>الأمانة العامة للمجلس التنفيذي</t>
        </is>
      </c>
      <c r="G10" s="101" t="n"/>
      <c r="H10" s="14" t="inlineStr">
        <is>
          <t>الأمانة العامة للمجلس التنفيذي</t>
        </is>
      </c>
      <c r="I10" s="14" t="inlineStr">
        <is>
          <t>مكتب خطة دبي</t>
        </is>
      </c>
      <c r="K10" s="14" t="inlineStr">
        <is>
          <t>أكتوبر</t>
        </is>
      </c>
      <c r="L10" s="14" t="n">
        <v>2026</v>
      </c>
      <c r="M10" s="14" t="inlineStr">
        <is>
          <t>أبريل</t>
        </is>
      </c>
      <c r="N10" s="14" t="n">
        <v>2027</v>
      </c>
      <c r="O10" s="14" t="inlineStr">
        <is>
          <t>قيد التطوير</t>
        </is>
      </c>
      <c r="P10" s="14" t="n">
        <v>0</v>
      </c>
      <c r="Q10" s="101" t="n"/>
    </row>
    <row r="11">
      <c r="A11" s="101" t="inlineStr">
        <is>
          <t>DP_Office_Performace_Tracker.xlsx</t>
        </is>
      </c>
      <c r="B11" s="14" t="inlineStr">
        <is>
          <t>لا</t>
        </is>
      </c>
      <c r="C11" t="inlineStr">
        <is>
          <t>مدير توضيحي 2</t>
        </is>
      </c>
      <c r="D11" t="inlineStr">
        <is>
          <t>مشروع خاص توضيحي 010</t>
        </is>
      </c>
      <c r="F11" s="14" t="inlineStr">
        <is>
          <t>الأمانة العامة للمجلس التنفيذي</t>
        </is>
      </c>
      <c r="G11" s="101" t="n"/>
      <c r="H11" s="14" t="inlineStr">
        <is>
          <t>الأمانة العامة للمجلس التنفيذي</t>
        </is>
      </c>
      <c r="I11" s="14" t="inlineStr">
        <is>
          <t>مكتب خطة دبي</t>
        </is>
      </c>
      <c r="J11" s="14" t="inlineStr">
        <is>
          <t>إدارة السياسات والإستراتيجيات الإجتماعية</t>
        </is>
      </c>
      <c r="K11" s="14" t="inlineStr">
        <is>
          <t>أكتوبر</t>
        </is>
      </c>
      <c r="L11" s="14" t="n">
        <v>2026</v>
      </c>
      <c r="M11" s="14" t="inlineStr">
        <is>
          <t>مارس</t>
        </is>
      </c>
      <c r="N11" s="14" t="n">
        <v>2027</v>
      </c>
      <c r="O11" s="14" t="inlineStr">
        <is>
          <t>قيد التطوير</t>
        </is>
      </c>
      <c r="P11" s="14" t="n">
        <v>0</v>
      </c>
      <c r="Q11" s="101" t="n"/>
    </row>
    <row r="12">
      <c r="A12" s="101" t="inlineStr">
        <is>
          <t>DP_Office_Performace_Tracker.xlsx</t>
        </is>
      </c>
      <c r="B12" s="14" t="inlineStr">
        <is>
          <t>لا</t>
        </is>
      </c>
      <c r="C12" t="inlineStr">
        <is>
          <t>مدير توضيحي 3</t>
        </is>
      </c>
      <c r="D12" t="inlineStr">
        <is>
          <t>مشروع خاص توضيحي 011</t>
        </is>
      </c>
      <c r="F12" s="14" t="inlineStr">
        <is>
          <t>الأمانة العامة للمجلس التنفيذي</t>
        </is>
      </c>
      <c r="G12" s="101" t="n"/>
      <c r="H12" s="14" t="inlineStr">
        <is>
          <t>الأمانة العامة للمجلس التنفيذي</t>
        </is>
      </c>
      <c r="I12" s="14" t="inlineStr">
        <is>
          <t>مكتب خطة دبي</t>
        </is>
      </c>
      <c r="J12" s="14" t="inlineStr">
        <is>
          <t xml:space="preserve">إدارة المشاريع المؤسسية </t>
        </is>
      </c>
      <c r="K12" s="14" t="inlineStr">
        <is>
          <t>أغسطس</t>
        </is>
      </c>
      <c r="L12" s="14" t="n">
        <v>2026</v>
      </c>
      <c r="M12" s="14" t="inlineStr">
        <is>
          <t>مارس</t>
        </is>
      </c>
      <c r="N12" s="14" t="n">
        <v>2027</v>
      </c>
      <c r="O12" s="14" t="inlineStr">
        <is>
          <t>قيد التطوير</t>
        </is>
      </c>
      <c r="P12" s="14" t="n">
        <v>0.25</v>
      </c>
      <c r="Q12" s="101" t="n"/>
    </row>
    <row r="13">
      <c r="A13" s="101" t="inlineStr">
        <is>
          <t>Economic_Performace_Tracker.xlsx</t>
        </is>
      </c>
      <c r="B13" s="14" t="inlineStr">
        <is>
          <t>نعم</t>
        </is>
      </c>
      <c r="C13" t="inlineStr">
        <is>
          <t>مدير توضيحي 1</t>
        </is>
      </c>
      <c r="D13" t="inlineStr">
        <is>
          <t>مشروع خاص توضيحي 012</t>
        </is>
      </c>
      <c r="F13" s="14" t="inlineStr">
        <is>
          <t>مكتب سمو نائب حاكم دبي نائب رئيس مجلس الوزراء وزير المالية</t>
        </is>
      </c>
      <c r="G13" s="101" t="n"/>
      <c r="H13" s="14" t="inlineStr">
        <is>
          <t>الاقتصاد والتنمية الاجتماعية</t>
        </is>
      </c>
      <c r="I13" s="14" t="inlineStr">
        <is>
          <t>السياسات والاستراتيجيات الاقتصادية</t>
        </is>
      </c>
      <c r="K13" s="14" t="inlineStr">
        <is>
          <t>سبتمبر</t>
        </is>
      </c>
      <c r="L13" s="14" t="n">
        <v>2025</v>
      </c>
      <c r="M13" s="14" t="inlineStr">
        <is>
          <t>سبتمبر</t>
        </is>
      </c>
      <c r="N13" s="14" t="n">
        <v>2025</v>
      </c>
      <c r="O13" s="14" t="inlineStr">
        <is>
          <t>منجز</t>
        </is>
      </c>
      <c r="P13" s="14" t="n">
        <v>1</v>
      </c>
      <c r="Q13" s="101" t="n"/>
    </row>
    <row r="14">
      <c r="A14" s="101" t="inlineStr">
        <is>
          <t>Economic_Performace_Tracker.xlsx</t>
        </is>
      </c>
      <c r="B14" s="14" t="inlineStr">
        <is>
          <t>نعم</t>
        </is>
      </c>
      <c r="C14" t="inlineStr">
        <is>
          <t>مدير توضيحي 2</t>
        </is>
      </c>
      <c r="D14" t="inlineStr">
        <is>
          <t>مشروع خاص توضيحي 013</t>
        </is>
      </c>
      <c r="F14" s="14" t="inlineStr">
        <is>
          <t>الأمانة العامة للمجلس التنفيذي</t>
        </is>
      </c>
      <c r="G14" s="101" t="n"/>
      <c r="H14" s="14" t="inlineStr">
        <is>
          <t>الاقتصاد والتنمية الاجتماعية</t>
        </is>
      </c>
      <c r="I14" s="14" t="inlineStr">
        <is>
          <t>السياسات والاستراتيجيات الاقتصادية</t>
        </is>
      </c>
      <c r="K14" s="14" t="inlineStr">
        <is>
          <t>مارس</t>
        </is>
      </c>
      <c r="L14" s="14" t="n">
        <v>2026</v>
      </c>
      <c r="M14" s="14" t="inlineStr">
        <is>
          <t>أبريل</t>
        </is>
      </c>
      <c r="N14" s="14" t="n">
        <v>2026</v>
      </c>
      <c r="O14" s="14" t="inlineStr">
        <is>
          <t>منجز</t>
        </is>
      </c>
      <c r="P14" s="14" t="n">
        <v>1</v>
      </c>
      <c r="Q14" s="101" t="n"/>
    </row>
    <row r="15">
      <c r="A15" s="101" t="inlineStr">
        <is>
          <t>Economic_Performace_Tracker.xlsx</t>
        </is>
      </c>
      <c r="B15" s="14" t="inlineStr">
        <is>
          <t>نعم</t>
        </is>
      </c>
      <c r="C15" t="inlineStr">
        <is>
          <t>مدير توضيحي 3</t>
        </is>
      </c>
      <c r="D15" t="inlineStr">
        <is>
          <t>مشروع خاص توضيحي 014</t>
        </is>
      </c>
      <c r="F15" s="14" t="inlineStr">
        <is>
          <t>الأمانة العامة للمجلس التنفيذي</t>
        </is>
      </c>
      <c r="G15" s="101" t="n"/>
      <c r="H15" s="14" t="inlineStr">
        <is>
          <t>الاقتصاد والتنمية الاجتماعية</t>
        </is>
      </c>
      <c r="I15" s="14" t="inlineStr">
        <is>
          <t>السياسات والاستراتيجيات الاقتصادية</t>
        </is>
      </c>
      <c r="K15" s="14" t="inlineStr">
        <is>
          <t>أبريل</t>
        </is>
      </c>
      <c r="L15" s="14" t="n">
        <v>2026</v>
      </c>
      <c r="M15" s="14" t="inlineStr">
        <is>
          <t>مايو</t>
        </is>
      </c>
      <c r="N15" s="14" t="n">
        <v>2026</v>
      </c>
      <c r="O15" s="14" t="inlineStr">
        <is>
          <t>منجز</t>
        </is>
      </c>
      <c r="P15" s="14" t="n">
        <v>1</v>
      </c>
      <c r="Q15" s="101" t="n"/>
    </row>
    <row r="16">
      <c r="A16" s="101" t="inlineStr">
        <is>
          <t>Economic_Performace_Tracker.xlsx</t>
        </is>
      </c>
      <c r="B16" s="14" t="inlineStr">
        <is>
          <t>نعم</t>
        </is>
      </c>
      <c r="C16" t="inlineStr">
        <is>
          <t>مدير توضيحي 1</t>
        </is>
      </c>
      <c r="D16" t="inlineStr">
        <is>
          <t>مشروع خاص توضيحي 015</t>
        </is>
      </c>
      <c r="F16" s="14" t="inlineStr">
        <is>
          <t>الأمانة العامة للمجلس التنفيذي</t>
        </is>
      </c>
      <c r="G16" s="101" t="n"/>
      <c r="H16" s="14" t="inlineStr">
        <is>
          <t>الاقتصاد والتنمية الاجتماعية</t>
        </is>
      </c>
      <c r="I16" s="14" t="inlineStr">
        <is>
          <t>السياسات والاستراتيجيات الاقتصادية</t>
        </is>
      </c>
      <c r="K16" s="14" t="inlineStr">
        <is>
          <t>يونيو</t>
        </is>
      </c>
      <c r="L16" s="14" t="n">
        <v>2026</v>
      </c>
      <c r="M16" s="14" t="inlineStr">
        <is>
          <t>يوليو</t>
        </is>
      </c>
      <c r="N16" s="14" t="n">
        <v>2026</v>
      </c>
      <c r="O16" s="14" t="inlineStr">
        <is>
          <t>منجز</t>
        </is>
      </c>
      <c r="P16" s="14" t="n">
        <v>1</v>
      </c>
      <c r="Q16" s="101" t="n"/>
    </row>
    <row r="17">
      <c r="A17" s="101" t="inlineStr">
        <is>
          <t>Economic_Performace_Tracker.xlsx</t>
        </is>
      </c>
      <c r="B17" s="14" t="inlineStr">
        <is>
          <t>لا</t>
        </is>
      </c>
      <c r="C17" t="inlineStr">
        <is>
          <t>مدير توضيحي 2</t>
        </is>
      </c>
      <c r="D17" t="inlineStr">
        <is>
          <t>مشروع خاص توضيحي 016</t>
        </is>
      </c>
      <c r="F17" s="14" t="inlineStr">
        <is>
          <t>الأمانة العامة للمجلس التنفيذي</t>
        </is>
      </c>
      <c r="G17" s="101" t="n"/>
      <c r="H17" s="14" t="inlineStr">
        <is>
          <t>الاقتصاد والتنمية الاجتماعية</t>
        </is>
      </c>
      <c r="I17" s="14" t="inlineStr">
        <is>
          <t>السياسات والاستراتيجيات الاقتصادية</t>
        </is>
      </c>
      <c r="K17" s="14" t="inlineStr">
        <is>
          <t>مايو</t>
        </is>
      </c>
      <c r="L17" s="14" t="n">
        <v>2026</v>
      </c>
      <c r="N17" s="14" t="n">
        <v>2026</v>
      </c>
      <c r="O17" s="14" t="inlineStr">
        <is>
          <t>منجز</t>
        </is>
      </c>
      <c r="P17" s="14" t="n">
        <v>1</v>
      </c>
      <c r="Q17" s="101" t="n"/>
    </row>
    <row r="18">
      <c r="A18" s="101" t="inlineStr">
        <is>
          <t>Economic_Performace_Tracker.xlsx</t>
        </is>
      </c>
      <c r="B18" s="14" t="inlineStr">
        <is>
          <t>نعم</t>
        </is>
      </c>
      <c r="C18" t="inlineStr">
        <is>
          <t>مدير توضيحي 3</t>
        </is>
      </c>
      <c r="D18" t="inlineStr">
        <is>
          <t>مشروع خاص توضيحي 017</t>
        </is>
      </c>
      <c r="F18" s="14" t="inlineStr">
        <is>
          <t>القيادة العامة لشرطة دبي</t>
        </is>
      </c>
      <c r="G18" s="101" t="n"/>
      <c r="H18" s="14" t="inlineStr">
        <is>
          <t>الاقتصاد والتنمية الاجتماعية</t>
        </is>
      </c>
      <c r="I18" s="14" t="inlineStr">
        <is>
          <t>السياسات والاستراتيجيات الاقتصادية</t>
        </is>
      </c>
      <c r="K18" s="14" t="inlineStr">
        <is>
          <t>يناير</t>
        </is>
      </c>
      <c r="L18" s="14" t="n">
        <v>2026</v>
      </c>
      <c r="M18" s="14" t="inlineStr">
        <is>
          <t>ديسمبر</t>
        </is>
      </c>
      <c r="N18" s="14" t="n">
        <v>2026</v>
      </c>
      <c r="O18" s="14" t="inlineStr">
        <is>
          <t>قيد التطوير</t>
        </is>
      </c>
      <c r="P18" s="14" t="n">
        <v>0.5</v>
      </c>
      <c r="Q18" s="101" t="n"/>
    </row>
    <row r="19">
      <c r="A19" s="101" t="inlineStr">
        <is>
          <t>Economic_Performace_Tracker.xlsx</t>
        </is>
      </c>
      <c r="B19" s="14" t="inlineStr">
        <is>
          <t>نعم</t>
        </is>
      </c>
      <c r="C19" t="inlineStr">
        <is>
          <t>مدير توضيحي 1</t>
        </is>
      </c>
      <c r="D19" t="inlineStr">
        <is>
          <t>مشروع خاص توضيحي 018</t>
        </is>
      </c>
      <c r="F19" s="14" t="inlineStr">
        <is>
          <t>الأمانة العامة للمجلس التنفيذي</t>
        </is>
      </c>
      <c r="G19" s="101" t="n"/>
      <c r="H19" s="14" t="inlineStr">
        <is>
          <t>الاقتصاد والتنمية الاجتماعية</t>
        </is>
      </c>
      <c r="I19" s="14" t="inlineStr">
        <is>
          <t>السياسات والاستراتيجيات الاقتصادية</t>
        </is>
      </c>
      <c r="K19" s="14" t="inlineStr">
        <is>
          <t>سبتمبر</t>
        </is>
      </c>
      <c r="L19" s="14" t="n">
        <v>2026</v>
      </c>
      <c r="M19" s="14" t="inlineStr">
        <is>
          <t>ديسمبر</t>
        </is>
      </c>
      <c r="N19" s="14" t="n">
        <v>2026</v>
      </c>
      <c r="O19" s="14" t="inlineStr">
        <is>
          <t>قيد التطوير</t>
        </is>
      </c>
      <c r="P19" s="14" t="n">
        <v>0.5</v>
      </c>
      <c r="Q19" s="101" t="n"/>
    </row>
    <row r="20">
      <c r="A20" s="101" t="inlineStr">
        <is>
          <t>Excellence_Performace_Tracker.xlsx</t>
        </is>
      </c>
      <c r="B20" s="14" t="inlineStr">
        <is>
          <t>لا</t>
        </is>
      </c>
      <c r="C20" t="inlineStr">
        <is>
          <t>مدير توضيحي 2</t>
        </is>
      </c>
      <c r="D20" t="inlineStr">
        <is>
          <t>مشروع خاص توضيحي 019</t>
        </is>
      </c>
      <c r="F20" s="14" t="inlineStr">
        <is>
          <t>الأمانة العامة للمجلس التنفيذي</t>
        </is>
      </c>
      <c r="G20" s="101" t="n"/>
      <c r="H20" s="14" t="inlineStr">
        <is>
          <t>التميز والخدمات الحكومية</t>
        </is>
      </c>
      <c r="J20" s="14" t="inlineStr">
        <is>
          <t>تمثيل من كافة قطاعات الأمانة العامة</t>
        </is>
      </c>
      <c r="K20" s="14" t="inlineStr">
        <is>
          <t>أكتوبر</t>
        </is>
      </c>
      <c r="L20" s="14" t="n">
        <v>2026</v>
      </c>
      <c r="M20" s="14" t="inlineStr">
        <is>
          <t>فبراير</t>
        </is>
      </c>
      <c r="N20" s="14" t="n">
        <v>2027</v>
      </c>
      <c r="O20" s="14" t="inlineStr">
        <is>
          <t>قيد التطوير</t>
        </is>
      </c>
      <c r="P20" s="14" t="n">
        <v>0.65</v>
      </c>
      <c r="Q20" s="101" t="n"/>
    </row>
    <row r="21">
      <c r="A21" s="101" t="inlineStr">
        <is>
          <t>Excellence_Performace_Tracker.xlsx</t>
        </is>
      </c>
      <c r="B21" s="14" t="inlineStr">
        <is>
          <t>نعم</t>
        </is>
      </c>
      <c r="C21" t="inlineStr">
        <is>
          <t>مدير توضيحي 3</t>
        </is>
      </c>
      <c r="D21" t="inlineStr">
        <is>
          <t>مشروع خاص توضيحي 020</t>
        </is>
      </c>
      <c r="F21" s="14" t="inlineStr">
        <is>
          <t>هيئة تنمية المجتمع</t>
        </is>
      </c>
      <c r="G21" s="101" t="inlineStr">
        <is>
          <t>محاكم دبي
هيئة تنمية المجتمع
مؤسسة الأوقاف وإدارة أموال القصّر</t>
        </is>
      </c>
      <c r="H21" s="14" t="inlineStr">
        <is>
          <t>التميز والخدمات الحكومية</t>
        </is>
      </c>
      <c r="K21" s="14" t="inlineStr">
        <is>
          <t>يونيو</t>
        </is>
      </c>
      <c r="L21" s="14" t="n">
        <v>2026</v>
      </c>
      <c r="M21" s="14" t="inlineStr">
        <is>
          <t>أغسطس</t>
        </is>
      </c>
      <c r="N21" s="14" t="n">
        <v>2026</v>
      </c>
      <c r="O21" s="14" t="inlineStr">
        <is>
          <t>منجز</t>
        </is>
      </c>
      <c r="P21" s="14" t="n">
        <v>1</v>
      </c>
      <c r="Q21" s="101" t="n"/>
    </row>
    <row r="22">
      <c r="A22" s="101" t="inlineStr">
        <is>
          <t>Excellence_Performace_Tracker.xlsx</t>
        </is>
      </c>
      <c r="B22" s="14" t="inlineStr">
        <is>
          <t>نعم</t>
        </is>
      </c>
      <c r="C22" t="inlineStr">
        <is>
          <t>مدير توضيحي 1</t>
        </is>
      </c>
      <c r="D22" t="inlineStr">
        <is>
          <t>مشروع خاص توضيحي 021</t>
        </is>
      </c>
      <c r="F22" s="14" t="inlineStr">
        <is>
          <t>هيئة الصحة بدبي</t>
        </is>
      </c>
      <c r="G22" s="101" t="n"/>
      <c r="H22" s="14" t="inlineStr">
        <is>
          <t>التميز والخدمات الحكومية</t>
        </is>
      </c>
      <c r="K22" s="14" t="inlineStr">
        <is>
          <t>أبريل</t>
        </is>
      </c>
      <c r="L22" s="14" t="n">
        <v>2025</v>
      </c>
      <c r="M22" s="14" t="inlineStr">
        <is>
          <t>ديسمبر</t>
        </is>
      </c>
      <c r="N22" s="14" t="n">
        <v>2025</v>
      </c>
      <c r="O22" s="14" t="inlineStr">
        <is>
          <t>منجز</t>
        </is>
      </c>
      <c r="P22" s="14" t="n">
        <v>1</v>
      </c>
      <c r="Q22" s="101" t="n"/>
    </row>
    <row r="23">
      <c r="A23" s="101" t="inlineStr">
        <is>
          <t>GC_Performace_Tracker.xlsx</t>
        </is>
      </c>
      <c r="B23" s="14" t="inlineStr">
        <is>
          <t>لا</t>
        </is>
      </c>
      <c r="C23" t="inlineStr">
        <is>
          <t>مدير توضيحي 2</t>
        </is>
      </c>
      <c r="D23" t="inlineStr">
        <is>
          <t>مشروع خاص توضيحي 022</t>
        </is>
      </c>
      <c r="F23" s="14" t="inlineStr">
        <is>
          <t>الأمانة العامة للمجلس التنفيذي</t>
        </is>
      </c>
      <c r="G23" s="101" t="n"/>
      <c r="H23" s="14" t="inlineStr">
        <is>
          <t>الاتصال الحكومي وشؤون الأمانة العامة</t>
        </is>
      </c>
      <c r="I23" s="14" t="inlineStr">
        <is>
          <t>الاتصال الحكومي</t>
        </is>
      </c>
      <c r="K23" s="14" t="inlineStr">
        <is>
          <t>فبراير</t>
        </is>
      </c>
      <c r="L23" s="14" t="n">
        <v>2026</v>
      </c>
      <c r="M23" s="14" t="inlineStr">
        <is>
          <t>سبتمبر</t>
        </is>
      </c>
      <c r="N23" s="14" t="n">
        <v>2027</v>
      </c>
      <c r="O23" s="14" t="inlineStr">
        <is>
          <t>قيد التطوير</t>
        </is>
      </c>
      <c r="P23" s="14" t="n">
        <v>0</v>
      </c>
      <c r="Q23" s="101" t="n"/>
    </row>
    <row r="24">
      <c r="A24" s="101" t="inlineStr">
        <is>
          <t>GC_Performace_Tracker.xlsx</t>
        </is>
      </c>
      <c r="B24" s="14" t="inlineStr">
        <is>
          <t>لا</t>
        </is>
      </c>
      <c r="C24" t="inlineStr">
        <is>
          <t>مدير توضيحي 3</t>
        </is>
      </c>
      <c r="D24" t="inlineStr">
        <is>
          <t>مشروع خاص توضيحي 023</t>
        </is>
      </c>
      <c r="F24" s="14" t="inlineStr">
        <is>
          <t>الأمانة العامة للمجلس التنفيذي</t>
        </is>
      </c>
      <c r="G24" s="101" t="n"/>
      <c r="H24" s="14" t="inlineStr">
        <is>
          <t>الاتصال الحكومي وشؤون الأمانة العامة</t>
        </is>
      </c>
      <c r="I24" s="14" t="inlineStr">
        <is>
          <t>الاتصال الحكومي</t>
        </is>
      </c>
      <c r="K24" s="14" t="inlineStr">
        <is>
          <t>فبراير</t>
        </is>
      </c>
      <c r="L24" s="14" t="n">
        <v>2026</v>
      </c>
      <c r="M24" s="14" t="inlineStr">
        <is>
          <t>سبتمبر</t>
        </is>
      </c>
      <c r="N24" s="14" t="n">
        <v>2027</v>
      </c>
      <c r="O24" s="14" t="inlineStr">
        <is>
          <t>قيد التطوير</t>
        </is>
      </c>
      <c r="P24" s="14" t="n">
        <v>0</v>
      </c>
      <c r="Q24" s="101" t="n"/>
    </row>
    <row r="25">
      <c r="A25" s="101" t="inlineStr">
        <is>
          <t>Governance_Performace_Tracker.xlsx</t>
        </is>
      </c>
      <c r="B25" s="14" t="inlineStr">
        <is>
          <t>نعم</t>
        </is>
      </c>
      <c r="C25" t="inlineStr">
        <is>
          <t>مدير توضيحي 1</t>
        </is>
      </c>
      <c r="D25" t="inlineStr">
        <is>
          <t>مشروع خاص توضيحي 024</t>
        </is>
      </c>
      <c r="F25" s="14" t="inlineStr">
        <is>
          <t>هيئة تنمية المجتمع</t>
        </is>
      </c>
      <c r="G25" s="101" t="inlineStr">
        <is>
          <t>رئيس فريق نادي ذخر</t>
        </is>
      </c>
      <c r="H25" s="14" t="inlineStr">
        <is>
          <t>الحوكمة</t>
        </is>
      </c>
      <c r="I25" s="14" t="inlineStr">
        <is>
          <t>الحوكمة</t>
        </is>
      </c>
      <c r="J25" s="14" t="inlineStr">
        <is>
          <t>السياسات والاستراتيجيات الاجتماعية</t>
        </is>
      </c>
      <c r="K25" s="14" t="inlineStr">
        <is>
          <t>مارس</t>
        </is>
      </c>
      <c r="L25" s="14" t="n">
        <v>2025</v>
      </c>
      <c r="M25" s="14" t="inlineStr">
        <is>
          <t>سبتمبر</t>
        </is>
      </c>
      <c r="N25" s="14" t="n">
        <v>2026</v>
      </c>
      <c r="O25" s="14" t="inlineStr">
        <is>
          <t>منجز</t>
        </is>
      </c>
      <c r="P25" s="14" t="n">
        <v>1</v>
      </c>
      <c r="Q25" s="101" t="n"/>
    </row>
    <row r="26">
      <c r="A26" s="101" t="inlineStr">
        <is>
          <t>Governance_Performace_Tracker.xlsx</t>
        </is>
      </c>
      <c r="B26" s="14" t="inlineStr">
        <is>
          <t>لا</t>
        </is>
      </c>
      <c r="C26" t="inlineStr">
        <is>
          <t>مدير توضيحي 2</t>
        </is>
      </c>
      <c r="D26" t="inlineStr">
        <is>
          <t>مشروع خاص توضيحي 025</t>
        </is>
      </c>
      <c r="F26" s="14" t="inlineStr">
        <is>
          <t>دائرة المالية</t>
        </is>
      </c>
      <c r="G26" s="101" t="n"/>
      <c r="H26" s="14" t="inlineStr">
        <is>
          <t>الحوكمة</t>
        </is>
      </c>
      <c r="I26" s="14" t="inlineStr">
        <is>
          <t>الحوكمة</t>
        </is>
      </c>
      <c r="J26" s="14" t="inlineStr">
        <is>
          <t xml:space="preserve">اللجنة التوجيهية لنظام الأداء
</t>
        </is>
      </c>
      <c r="K26" s="14" t="inlineStr">
        <is>
          <t>ديسمبر</t>
        </is>
      </c>
      <c r="L26" s="14" t="n">
        <v>2023</v>
      </c>
      <c r="M26" s="14" t="inlineStr">
        <is>
          <t>ديسمبر</t>
        </is>
      </c>
      <c r="N26" s="14" t="n">
        <v>2028</v>
      </c>
      <c r="O26" s="14" t="inlineStr">
        <is>
          <t>قيد التطوير</t>
        </is>
      </c>
      <c r="P26" s="14" t="n">
        <v>0.7</v>
      </c>
      <c r="Q26" s="101" t="n"/>
    </row>
    <row r="27">
      <c r="A27" s="101" t="inlineStr">
        <is>
          <t>Governance_Performace_Tracker.xlsx</t>
        </is>
      </c>
      <c r="B27" s="14" t="inlineStr">
        <is>
          <t>لا</t>
        </is>
      </c>
      <c r="C27" t="inlineStr">
        <is>
          <t>مدير توضيحي 3</t>
        </is>
      </c>
      <c r="D27" t="inlineStr">
        <is>
          <t>مشروع خاص توضيحي 026</t>
        </is>
      </c>
      <c r="F27" s="14" t="inlineStr">
        <is>
          <t>الأمانة العامة للمجلس التنفيذي</t>
        </is>
      </c>
      <c r="G27" s="101" t="n"/>
      <c r="H27" s="14" t="inlineStr">
        <is>
          <t>الحوكمة</t>
        </is>
      </c>
      <c r="I27" s="14" t="inlineStr">
        <is>
          <t>الحوكمة</t>
        </is>
      </c>
      <c r="J27" s="14" t="inlineStr">
        <is>
          <t>السياسات والاستراتيجيات الاقتصادية</t>
        </is>
      </c>
      <c r="K27" s="14" t="inlineStr">
        <is>
          <t>أبريل</t>
        </is>
      </c>
      <c r="L27" s="14" t="n">
        <v>2026</v>
      </c>
      <c r="M27" s="14" t="inlineStr">
        <is>
          <t>ديسمبر</t>
        </is>
      </c>
      <c r="N27" s="14" t="n">
        <v>2027</v>
      </c>
      <c r="O27" s="14" t="inlineStr">
        <is>
          <t>قيد التطوير</t>
        </is>
      </c>
      <c r="P27" s="14" t="n">
        <v>0.5</v>
      </c>
      <c r="Q27" s="101" t="n"/>
    </row>
    <row r="28">
      <c r="A28" s="101" t="inlineStr">
        <is>
          <t>Governance_Performace_Tracker.xlsx</t>
        </is>
      </c>
      <c r="B28" s="14" t="inlineStr">
        <is>
          <t>لا</t>
        </is>
      </c>
      <c r="C28" t="inlineStr">
        <is>
          <t>مدير توضيحي 1</t>
        </is>
      </c>
      <c r="D28" t="inlineStr">
        <is>
          <t>مشروع خاص توضيحي 027</t>
        </is>
      </c>
      <c r="F28" s="14" t="inlineStr">
        <is>
          <t>الأمانة العامة للمجلس التنفيذي</t>
        </is>
      </c>
      <c r="G28" s="101" t="n"/>
      <c r="H28" s="14" t="inlineStr">
        <is>
          <t>الحوكمة</t>
        </is>
      </c>
      <c r="I28" s="14" t="inlineStr">
        <is>
          <t>الحوكمة</t>
        </is>
      </c>
      <c r="J28" s="14" t="inlineStr">
        <is>
          <t>السياسات والاستراتيجيات الاقتصادية</t>
        </is>
      </c>
      <c r="K28" s="14" t="inlineStr">
        <is>
          <t>أغسطس</t>
        </is>
      </c>
      <c r="L28" s="14" t="n">
        <v>2025</v>
      </c>
      <c r="M28" s="14" t="inlineStr">
        <is>
          <t>سبتمبر</t>
        </is>
      </c>
      <c r="N28" s="14" t="n">
        <v>2025</v>
      </c>
      <c r="O28" s="14" t="inlineStr">
        <is>
          <t>قيد التطوير</t>
        </is>
      </c>
      <c r="P28" s="14" t="n">
        <v>0.9</v>
      </c>
      <c r="Q28" s="101" t="n"/>
    </row>
    <row r="29">
      <c r="A29" s="101" t="inlineStr">
        <is>
          <t>IT_Performace_Tracker.xlsx</t>
        </is>
      </c>
      <c r="B29" s="14" t="inlineStr">
        <is>
          <t>لا</t>
        </is>
      </c>
      <c r="C29" t="inlineStr">
        <is>
          <t>مدير توضيحي 2</t>
        </is>
      </c>
      <c r="D29" t="inlineStr">
        <is>
          <t>مشروع خاص توضيحي 028</t>
        </is>
      </c>
      <c r="F29" s="14" t="inlineStr">
        <is>
          <t>الأمانة العامة للمجلس التنفيذي</t>
        </is>
      </c>
      <c r="G29" s="101" t="n"/>
      <c r="H29" s="14" t="inlineStr">
        <is>
          <t>الاتصال الحكومي وشؤون الأمانة العامة</t>
        </is>
      </c>
      <c r="I29" s="14" t="inlineStr">
        <is>
          <t>تقنية المعلومات</t>
        </is>
      </c>
      <c r="J29" s="14" t="inlineStr">
        <is>
          <t>مكتب الأمين العام</t>
        </is>
      </c>
      <c r="K29" s="14" t="inlineStr">
        <is>
          <t>يوليو</t>
        </is>
      </c>
      <c r="L29" s="14" t="n">
        <v>2025</v>
      </c>
      <c r="M29" s="14" t="inlineStr">
        <is>
          <t>ديسمبر</t>
        </is>
      </c>
      <c r="N29" s="14" t="n">
        <v>2025</v>
      </c>
      <c r="O29" s="14" t="inlineStr">
        <is>
          <t>منجز</t>
        </is>
      </c>
      <c r="P29" s="14" t="n">
        <v>1</v>
      </c>
      <c r="Q29" s="101" t="n"/>
    </row>
    <row r="30">
      <c r="A30" s="101" t="inlineStr">
        <is>
          <t>IT_Performace_Tracker.xlsx</t>
        </is>
      </c>
      <c r="B30" s="14" t="inlineStr">
        <is>
          <t>لا</t>
        </is>
      </c>
      <c r="C30" t="inlineStr">
        <is>
          <t>مدير توضيحي 3</t>
        </is>
      </c>
      <c r="D30" t="inlineStr">
        <is>
          <t>مشروع خاص توضيحي 029</t>
        </is>
      </c>
      <c r="F30" s="14" t="inlineStr">
        <is>
          <t>الأمانة العامة للمجلس التنفيذي</t>
        </is>
      </c>
      <c r="G30" s="101" t="n"/>
      <c r="H30" s="14" t="inlineStr">
        <is>
          <t>الاتصال الحكومي وشؤون الأمانة العامة</t>
        </is>
      </c>
      <c r="I30" s="14" t="inlineStr">
        <is>
          <t>تقنية المعلومات</t>
        </is>
      </c>
      <c r="J30" s="14" t="inlineStr">
        <is>
          <t>التميز والخدمات الحكومية</t>
        </is>
      </c>
      <c r="K30" s="14" t="inlineStr">
        <is>
          <t>يوليو</t>
        </is>
      </c>
      <c r="L30" s="14" t="n">
        <v>2024</v>
      </c>
      <c r="M30" s="14" t="inlineStr">
        <is>
          <t>ديسمبر</t>
        </is>
      </c>
      <c r="N30" s="14" t="n">
        <v>2025</v>
      </c>
      <c r="O30" s="14" t="inlineStr">
        <is>
          <t>قيد التطوير</t>
        </is>
      </c>
      <c r="P30" s="14" t="n">
        <v>1</v>
      </c>
      <c r="Q30" s="101" t="n"/>
    </row>
    <row r="31">
      <c r="A31" s="101" t="inlineStr">
        <is>
          <t>Operational_Projects_Performace_Tracker.xlsx</t>
        </is>
      </c>
      <c r="B31" s="14" t="inlineStr">
        <is>
          <t>لا</t>
        </is>
      </c>
      <c r="C31" t="inlineStr">
        <is>
          <t>مدير توضيحي 1</t>
        </is>
      </c>
      <c r="D31" t="inlineStr">
        <is>
          <t>مشروع خاص توضيحي 030</t>
        </is>
      </c>
      <c r="F31" s="14" t="inlineStr">
        <is>
          <t>الأمانة العامة للمجلس التنفيذي</t>
        </is>
      </c>
      <c r="G31" s="101" t="inlineStr">
        <is>
          <t>بلدية دبي و صندوق المعرفة</t>
        </is>
      </c>
      <c r="H31" s="14" t="inlineStr">
        <is>
          <t>الاتصال الحكومي وشؤون الأمانة العامة</t>
        </is>
      </c>
      <c r="I31" s="14" t="inlineStr">
        <is>
          <t>تنفيذ ومتابعة المشاريع الميدانية</t>
        </is>
      </c>
      <c r="K31" s="14" t="inlineStr">
        <is>
          <t>يونيو</t>
        </is>
      </c>
      <c r="L31" s="14" t="n">
        <v>2026</v>
      </c>
      <c r="M31" s="14" t="inlineStr">
        <is>
          <t>أغسطس</t>
        </is>
      </c>
      <c r="N31" s="14" t="n">
        <v>2028</v>
      </c>
      <c r="O31" s="14" t="inlineStr">
        <is>
          <t>قيد التطوير</t>
        </is>
      </c>
      <c r="P31" s="14" t="n">
        <v>0.05</v>
      </c>
      <c r="Q31" s="101" t="n"/>
    </row>
    <row r="32">
      <c r="A32" s="101" t="inlineStr">
        <is>
          <t>Operational_Projects_Performace_Tracker.xlsx</t>
        </is>
      </c>
      <c r="B32" s="14" t="inlineStr">
        <is>
          <t>لا</t>
        </is>
      </c>
      <c r="C32" t="inlineStr">
        <is>
          <t>مدير توضيحي 2</t>
        </is>
      </c>
      <c r="D32" t="inlineStr">
        <is>
          <t>مشروع خاص توضيحي 031</t>
        </is>
      </c>
      <c r="F32" s="14" t="inlineStr">
        <is>
          <t>الأمانة العامة للمجلس التنفيذي</t>
        </is>
      </c>
      <c r="G32" s="101" t="n"/>
      <c r="H32" s="14" t="inlineStr">
        <is>
          <t>الاتصال الحكومي وشؤون الأمانة العامة</t>
        </is>
      </c>
      <c r="I32" s="14" t="inlineStr">
        <is>
          <t>تنفيذ ومتابعة المشاريع الميدانية</t>
        </is>
      </c>
      <c r="J32" s="14" t="inlineStr">
        <is>
          <t>الاتصال الحكومي</t>
        </is>
      </c>
      <c r="K32" s="14" t="inlineStr">
        <is>
          <t>ديسمبر</t>
        </is>
      </c>
      <c r="L32" s="14" t="n">
        <v>2026</v>
      </c>
      <c r="M32" s="14" t="inlineStr">
        <is>
          <t>أبريل</t>
        </is>
      </c>
      <c r="N32" s="14" t="n">
        <v>2027</v>
      </c>
      <c r="O32" s="14" t="inlineStr">
        <is>
          <t>قيد التطوير</t>
        </is>
      </c>
      <c r="P32" s="14" t="n">
        <v>0.1</v>
      </c>
      <c r="Q32" s="101" t="n"/>
    </row>
    <row r="33">
      <c r="A33" s="101" t="inlineStr">
        <is>
          <t>Social_Performace_Tracker.xlsx</t>
        </is>
      </c>
      <c r="B33" s="14" t="inlineStr">
        <is>
          <t>نعم</t>
        </is>
      </c>
      <c r="C33" t="inlineStr">
        <is>
          <t>مدير توضيحي 3</t>
        </is>
      </c>
      <c r="D33" t="inlineStr">
        <is>
          <t>مشروع خاص توضيحي 032</t>
        </is>
      </c>
      <c r="F33" s="14" t="inlineStr">
        <is>
          <t>هيئة تنمية المجتمع</t>
        </is>
      </c>
      <c r="G33" s="101" t="n"/>
      <c r="H33" s="14" t="inlineStr">
        <is>
          <t>الاقتصاد والتنمية الاجتماعية</t>
        </is>
      </c>
      <c r="I33" s="14" t="inlineStr">
        <is>
          <t>السياسات والاستراتيجيات الاجتماعية</t>
        </is>
      </c>
      <c r="J33" s="14" t="inlineStr">
        <is>
          <t>التشريعات الحكومية، التنمية الاقتصادية، التميز والخدمات الحكومية</t>
        </is>
      </c>
      <c r="K33" s="14" t="inlineStr">
        <is>
          <t>فبراير</t>
        </is>
      </c>
      <c r="L33" s="14" t="n">
        <v>2026</v>
      </c>
      <c r="M33" s="14" t="inlineStr">
        <is>
          <t>يونيو</t>
        </is>
      </c>
      <c r="N33" s="14" t="n">
        <v>2026</v>
      </c>
      <c r="O33" s="14" t="inlineStr">
        <is>
          <t>منجز</t>
        </is>
      </c>
      <c r="P33" s="14" t="n">
        <v>1</v>
      </c>
      <c r="Q33" s="101" t="n"/>
    </row>
    <row r="34">
      <c r="A34" s="101" t="inlineStr">
        <is>
          <t>Social_Performace_Tracker.xlsx</t>
        </is>
      </c>
      <c r="B34" s="14" t="inlineStr">
        <is>
          <t>نعم</t>
        </is>
      </c>
      <c r="C34" t="inlineStr">
        <is>
          <t>مدير توضيحي 1</t>
        </is>
      </c>
      <c r="D34" t="inlineStr">
        <is>
          <t>مشروع خاص توضيحي 033</t>
        </is>
      </c>
      <c r="F34" s="14" t="inlineStr">
        <is>
          <t>هيئة تنمية المجتمع</t>
        </is>
      </c>
      <c r="G34" s="101" t="n"/>
      <c r="H34" s="14" t="inlineStr">
        <is>
          <t>الاقتصاد والتنمية الاجتماعية</t>
        </is>
      </c>
      <c r="I34" s="14" t="inlineStr">
        <is>
          <t>السياسات والاستراتيجيات الاجتماعية</t>
        </is>
      </c>
      <c r="J34" s="14" t="inlineStr">
        <is>
          <t>التشريعات الحكومية، التميز والخدمات الحكومية</t>
        </is>
      </c>
      <c r="K34" s="14" t="inlineStr">
        <is>
          <t>فبراير</t>
        </is>
      </c>
      <c r="L34" s="14" t="n">
        <v>2026</v>
      </c>
      <c r="O34" s="14" t="inlineStr">
        <is>
          <t>قيد التطوير</t>
        </is>
      </c>
      <c r="Q34" s="101" t="n"/>
    </row>
    <row r="35">
      <c r="A35" s="101" t="inlineStr">
        <is>
          <t>Social_Performace_Tracker.xlsx</t>
        </is>
      </c>
      <c r="B35" s="14" t="inlineStr">
        <is>
          <t>نعم</t>
        </is>
      </c>
      <c r="C35" t="inlineStr">
        <is>
          <t>مدير توضيحي 2</t>
        </is>
      </c>
      <c r="D35" t="inlineStr">
        <is>
          <t>مشروع خاص توضيحي 034</t>
        </is>
      </c>
      <c r="F35" s="14" t="inlineStr">
        <is>
          <t>هيئة تنمية المجتمع</t>
        </is>
      </c>
      <c r="G35" s="101" t="n"/>
      <c r="H35" s="14" t="inlineStr">
        <is>
          <t>الاقتصاد والتنمية الاجتماعية</t>
        </is>
      </c>
      <c r="I35" s="14" t="inlineStr">
        <is>
          <t>السياسات والاستراتيجيات الاجتماعية</t>
        </is>
      </c>
      <c r="K35" s="14" t="inlineStr">
        <is>
          <t>سبتمبر</t>
        </is>
      </c>
      <c r="L35" s="14" t="n">
        <v>2025</v>
      </c>
      <c r="M35" s="14" t="inlineStr">
        <is>
          <t>يونيو</t>
        </is>
      </c>
      <c r="N35" s="14" t="n">
        <v>2026</v>
      </c>
      <c r="O35" s="14" t="inlineStr">
        <is>
          <t>قيد التطوير</t>
        </is>
      </c>
      <c r="Q35" s="101" t="n"/>
    </row>
    <row r="36">
      <c r="A36" s="101" t="inlineStr">
        <is>
          <t>Social_Performace_Tracker.xlsx</t>
        </is>
      </c>
      <c r="B36" s="14" t="inlineStr">
        <is>
          <t>نعم</t>
        </is>
      </c>
      <c r="C36" t="inlineStr">
        <is>
          <t>مدير توضيحي 3</t>
        </is>
      </c>
      <c r="D36" t="inlineStr">
        <is>
          <t>مشروع خاص توضيحي 035</t>
        </is>
      </c>
      <c r="F36" s="14" t="inlineStr">
        <is>
          <t>هيئة تنمية المجتمع</t>
        </is>
      </c>
      <c r="G36" s="101" t="n"/>
      <c r="H36" s="14" t="inlineStr">
        <is>
          <t>الاقتصاد والتنمية الاجتماعية</t>
        </is>
      </c>
      <c r="I36" s="14" t="inlineStr">
        <is>
          <t>السياسات والاستراتيجيات الاجتماعية</t>
        </is>
      </c>
      <c r="K36" s="14" t="inlineStr">
        <is>
          <t>نوفمبر</t>
        </is>
      </c>
      <c r="L36" s="14" t="n">
        <v>2020</v>
      </c>
      <c r="O36" s="14" t="inlineStr">
        <is>
          <t>قيد التطوير</t>
        </is>
      </c>
      <c r="P36" s="14" t="n">
        <v>0.75</v>
      </c>
      <c r="Q36" s="101" t="n"/>
    </row>
    <row r="37">
      <c r="A37" s="101" t="inlineStr">
        <is>
          <t>Social_Performace_Tracker.xlsx</t>
        </is>
      </c>
      <c r="B37" s="14" t="inlineStr">
        <is>
          <t>نعم</t>
        </is>
      </c>
      <c r="C37" t="inlineStr">
        <is>
          <t>مدير توضيحي 1</t>
        </is>
      </c>
      <c r="D37" t="inlineStr">
        <is>
          <t>مشروع خاص توضيحي 036</t>
        </is>
      </c>
      <c r="F37" s="14" t="inlineStr">
        <is>
          <t>هيئة تنمية المجتمع</t>
        </is>
      </c>
      <c r="G37" s="101" t="n"/>
      <c r="H37" s="14" t="inlineStr">
        <is>
          <t>الاقتصاد والتنمية الاجتماعية</t>
        </is>
      </c>
      <c r="I37" s="14" t="inlineStr">
        <is>
          <t>السياسات والاستراتيجيات الاجتماعية</t>
        </is>
      </c>
      <c r="K37" s="14" t="inlineStr">
        <is>
          <t>يوليو</t>
        </is>
      </c>
      <c r="L37" s="14" t="n">
        <v>2022</v>
      </c>
      <c r="M37" s="14" t="inlineStr">
        <is>
          <t>يونيو</t>
        </is>
      </c>
      <c r="N37" s="14" t="n">
        <v>2025</v>
      </c>
      <c r="O37" s="14" t="inlineStr">
        <is>
          <t>منجز</t>
        </is>
      </c>
      <c r="P37" s="14" t="n">
        <v>1</v>
      </c>
      <c r="Q37" s="101" t="n"/>
    </row>
    <row r="38">
      <c r="A38" s="101" t="inlineStr">
        <is>
          <t>Social_Performace_Tracker.xlsx</t>
        </is>
      </c>
      <c r="B38" s="14" t="inlineStr">
        <is>
          <t>نعم</t>
        </is>
      </c>
      <c r="C38" t="inlineStr">
        <is>
          <t>مدير توضيحي 2</t>
        </is>
      </c>
      <c r="D38" t="inlineStr">
        <is>
          <t>مشروع خاص توضيحي 037</t>
        </is>
      </c>
      <c r="F38" s="14" t="inlineStr">
        <is>
          <t>هيئة تنمية المجتمع</t>
        </is>
      </c>
      <c r="G38" s="101" t="n"/>
      <c r="H38" s="14" t="inlineStr">
        <is>
          <t>الاقتصاد والتنمية الاجتماعية</t>
        </is>
      </c>
      <c r="I38" s="14" t="inlineStr">
        <is>
          <t>السياسات والاستراتيجيات الاجتماعية</t>
        </is>
      </c>
      <c r="K38" s="14" t="inlineStr">
        <is>
          <t>يوليو</t>
        </is>
      </c>
      <c r="L38" s="14" t="n">
        <v>2023</v>
      </c>
      <c r="O38" s="14" t="inlineStr">
        <is>
          <t>قيد التطوير</t>
        </is>
      </c>
      <c r="Q38" s="101" t="n"/>
    </row>
    <row r="39">
      <c r="A39" s="101" t="inlineStr">
        <is>
          <t>Social_Performace_Tracker.xlsx</t>
        </is>
      </c>
      <c r="B39" s="14" t="inlineStr">
        <is>
          <t>نعم</t>
        </is>
      </c>
      <c r="C39" t="inlineStr">
        <is>
          <t>مدير توضيحي 3</t>
        </is>
      </c>
      <c r="D39" t="inlineStr">
        <is>
          <t>مشروع خاص توضيحي 038</t>
        </is>
      </c>
      <c r="F39" s="14" t="inlineStr">
        <is>
          <t>مؤسسة مكتبة محمد بن راشد آل مكتوم</t>
        </is>
      </c>
      <c r="G39" s="101" t="n"/>
      <c r="H39" s="14" t="inlineStr">
        <is>
          <t>الاقتصاد والتنمية الاجتماعية</t>
        </is>
      </c>
      <c r="I39" s="14" t="inlineStr">
        <is>
          <t>السياسات والاستراتيجيات الاجتماعية</t>
        </is>
      </c>
      <c r="K39" s="14" t="inlineStr">
        <is>
          <t>أكتوبر</t>
        </is>
      </c>
      <c r="L39" s="14" t="n">
        <v>2024</v>
      </c>
      <c r="M39" s="14" t="inlineStr">
        <is>
          <t>فبراير</t>
        </is>
      </c>
      <c r="N39" s="14" t="n">
        <v>2027</v>
      </c>
      <c r="O39" s="14" t="inlineStr">
        <is>
          <t>قيد التطوير</t>
        </is>
      </c>
      <c r="Q39" s="101" t="n"/>
    </row>
    <row r="40">
      <c r="A40" s="101" t="inlineStr">
        <is>
          <t>Social_Performace_Tracker.xlsx</t>
        </is>
      </c>
      <c r="B40" s="14" t="inlineStr">
        <is>
          <t>نعم</t>
        </is>
      </c>
      <c r="C40" t="inlineStr">
        <is>
          <t>مدير توضيحي 1</t>
        </is>
      </c>
      <c r="D40" t="inlineStr">
        <is>
          <t>مشروع خاص توضيحي 039</t>
        </is>
      </c>
      <c r="F40" s="14" t="inlineStr">
        <is>
          <t>هيئة تنمية المجتمع</t>
        </is>
      </c>
      <c r="G40" s="101" t="n"/>
      <c r="H40" s="14" t="inlineStr">
        <is>
          <t>الاقتصاد والتنمية الاجتماعية</t>
        </is>
      </c>
      <c r="I40" s="14" t="inlineStr">
        <is>
          <t>السياسات والاستراتيجيات الاجتماعية</t>
        </is>
      </c>
      <c r="J40" s="14" t="inlineStr">
        <is>
          <t>السياسات والاستراتيجيات الاقتصادية</t>
        </is>
      </c>
      <c r="K40" s="14" t="inlineStr">
        <is>
          <t>يناير</t>
        </is>
      </c>
      <c r="L40" s="14" t="n">
        <v>2025</v>
      </c>
      <c r="M40" s="14" t="inlineStr">
        <is>
          <t>سبتمبر</t>
        </is>
      </c>
      <c r="N40" s="14" t="n">
        <v>2025</v>
      </c>
      <c r="O40" s="14" t="inlineStr">
        <is>
          <t>منجز</t>
        </is>
      </c>
      <c r="P40" s="14" t="n">
        <v>1</v>
      </c>
      <c r="Q40" s="101" t="n"/>
    </row>
    <row r="41">
      <c r="A41" s="101" t="inlineStr">
        <is>
          <t>Social_Performace_Tracker.xlsx</t>
        </is>
      </c>
      <c r="B41" s="14" t="inlineStr">
        <is>
          <t>نعم</t>
        </is>
      </c>
      <c r="C41" t="inlineStr">
        <is>
          <t>مدير توضيحي 2</t>
        </is>
      </c>
      <c r="D41" t="inlineStr">
        <is>
          <t>مشروع خاص توضيحي 040</t>
        </is>
      </c>
      <c r="F41" s="14" t="inlineStr">
        <is>
          <t>مؤسسة محمد بن راشد للإسكان</t>
        </is>
      </c>
      <c r="G41" s="101" t="n"/>
      <c r="H41" s="14" t="inlineStr">
        <is>
          <t>الاقتصاد والتنمية الاجتماعية</t>
        </is>
      </c>
      <c r="I41" s="14" t="inlineStr">
        <is>
          <t>السياسات والاستراتيجيات الاجتماعية</t>
        </is>
      </c>
      <c r="K41" s="14" t="inlineStr">
        <is>
          <t>مايو</t>
        </is>
      </c>
      <c r="L41" s="14" t="n">
        <v>2025</v>
      </c>
      <c r="M41" s="14" t="inlineStr">
        <is>
          <t>أغسطس</t>
        </is>
      </c>
      <c r="N41" s="14" t="n">
        <v>2025</v>
      </c>
      <c r="O41" s="14" t="inlineStr">
        <is>
          <t>منجز</t>
        </is>
      </c>
      <c r="P41" s="14" t="n">
        <v>1</v>
      </c>
      <c r="Q41" s="101" t="n"/>
    </row>
    <row r="42">
      <c r="A42" s="101" t="inlineStr">
        <is>
          <t>Social_Performace_Tracker.xlsx</t>
        </is>
      </c>
      <c r="B42" s="14" t="inlineStr">
        <is>
          <t>لا</t>
        </is>
      </c>
      <c r="C42" t="inlineStr">
        <is>
          <t>مدير توضيحي 3</t>
        </is>
      </c>
      <c r="D42" t="inlineStr">
        <is>
          <t>مشروع خاص توضيحي 041</t>
        </is>
      </c>
      <c r="F42" s="14" t="inlineStr">
        <is>
          <t>الأمانة العامة للمجلس التنفيذي</t>
        </is>
      </c>
      <c r="G42" s="101" t="n"/>
      <c r="H42" s="14" t="inlineStr">
        <is>
          <t>الاقتصاد والتنمية الاجتماعية</t>
        </is>
      </c>
      <c r="I42" s="14" t="inlineStr">
        <is>
          <t>السياسات والاستراتيجيات الاجتماعية</t>
        </is>
      </c>
      <c r="J42" s="14" t="inlineStr">
        <is>
          <t>السياسات والاستراتيجيات الاجتماعية</t>
        </is>
      </c>
      <c r="K42" s="14" t="inlineStr">
        <is>
          <t>مارس</t>
        </is>
      </c>
      <c r="L42" s="14" t="n">
        <v>2026</v>
      </c>
      <c r="M42" s="14" t="inlineStr">
        <is>
          <t>يناير</t>
        </is>
      </c>
      <c r="N42" s="14" t="n">
        <v>2027</v>
      </c>
      <c r="O42" s="14" t="inlineStr">
        <is>
          <t>قيد التطوير</t>
        </is>
      </c>
      <c r="P42" s="14" t="n">
        <v>0.2</v>
      </c>
      <c r="Q42" s="101" t="n"/>
    </row>
    <row r="43">
      <c r="A43" s="101" t="inlineStr">
        <is>
          <t>Social_Performace_Tracker.xlsx</t>
        </is>
      </c>
      <c r="B43" s="14" t="inlineStr">
        <is>
          <t>لا</t>
        </is>
      </c>
      <c r="C43" t="inlineStr">
        <is>
          <t>مدير توضيحي 1</t>
        </is>
      </c>
      <c r="D43" t="inlineStr">
        <is>
          <t>مشروع خاص توضيحي 042</t>
        </is>
      </c>
      <c r="F43" s="14" t="inlineStr">
        <is>
          <t>هيئة تنمية المجتمع</t>
        </is>
      </c>
      <c r="G43" s="101" t="n"/>
      <c r="H43" s="14" t="inlineStr">
        <is>
          <t>الاقتصاد والتنمية الاجتماعية</t>
        </is>
      </c>
      <c r="I43" s="14" t="inlineStr">
        <is>
          <t>السياسات والاستراتيجيات الاجتماعية</t>
        </is>
      </c>
      <c r="K43" s="14" t="inlineStr">
        <is>
          <t>ديسمبر</t>
        </is>
      </c>
      <c r="L43" s="14" t="n">
        <v>2025</v>
      </c>
      <c r="M43" s="14" t="inlineStr">
        <is>
          <t>ديسمبر</t>
        </is>
      </c>
      <c r="N43" s="14" t="n">
        <v>2027</v>
      </c>
      <c r="O43" s="14" t="inlineStr">
        <is>
          <t>منجز</t>
        </is>
      </c>
      <c r="Q43" s="101" t="n"/>
    </row>
    <row r="44">
      <c r="A44" s="101" t="inlineStr">
        <is>
          <t>Social_Performace_Tracker.xlsx</t>
        </is>
      </c>
      <c r="B44" s="14" t="inlineStr">
        <is>
          <t>لا</t>
        </is>
      </c>
      <c r="C44" t="inlineStr">
        <is>
          <t>مدير توضيحي 2</t>
        </is>
      </c>
      <c r="D44" t="inlineStr">
        <is>
          <t>مشروع خاص توضيحي 043</t>
        </is>
      </c>
      <c r="F44" s="14" t="inlineStr">
        <is>
          <t>مؤسسة صندوق المعرفة</t>
        </is>
      </c>
      <c r="G44" s="101" t="n"/>
      <c r="H44" s="14" t="inlineStr">
        <is>
          <t>الاقتصاد والتنمية الاجتماعية</t>
        </is>
      </c>
      <c r="I44" s="14" t="inlineStr">
        <is>
          <t>السياسات والاستراتيجيات الاجتماعية</t>
        </is>
      </c>
      <c r="K44" s="14" t="inlineStr">
        <is>
          <t>أغسطس</t>
        </is>
      </c>
      <c r="L44" s="14" t="n">
        <v>2025</v>
      </c>
      <c r="M44" s="14" t="inlineStr">
        <is>
          <t>يوليو</t>
        </is>
      </c>
      <c r="N44" s="14" t="n">
        <v>2026</v>
      </c>
      <c r="O44" s="14" t="inlineStr">
        <is>
          <t>قيد التطوير</t>
        </is>
      </c>
      <c r="P44" s="14" t="n">
        <v>1</v>
      </c>
      <c r="Q44" s="101" t="n"/>
    </row>
    <row r="45">
      <c r="A45" s="101" t="inlineStr">
        <is>
          <t>Social_Performace_Tracker.xlsx</t>
        </is>
      </c>
      <c r="B45" s="14" t="inlineStr">
        <is>
          <t>لا</t>
        </is>
      </c>
      <c r="C45" t="inlineStr">
        <is>
          <t>مدير توضيحي 3</t>
        </is>
      </c>
      <c r="D45" t="inlineStr">
        <is>
          <t>مشروع خاص توضيحي 044</t>
        </is>
      </c>
      <c r="F45" s="14" t="inlineStr">
        <is>
          <t>هيئة تنمية المجتمع</t>
        </is>
      </c>
      <c r="G45" s="101" t="n"/>
      <c r="H45" s="14" t="inlineStr">
        <is>
          <t>الاقتصاد والتنمية الاجتماعية</t>
        </is>
      </c>
      <c r="I45" s="14" t="inlineStr">
        <is>
          <t>السياسات والاستراتيجيات الاجتماعية</t>
        </is>
      </c>
      <c r="J45" s="14" t="inlineStr">
        <is>
          <t>السياسات والاستراتيجيات الاجتماعية</t>
        </is>
      </c>
      <c r="O45" s="14" t="inlineStr">
        <is>
          <t>قيد التطوير</t>
        </is>
      </c>
      <c r="Q45" s="101" t="n"/>
    </row>
    <row r="46">
      <c r="A46" s="101" t="inlineStr">
        <is>
          <t>Social_Performace_Tracker.xlsx</t>
        </is>
      </c>
      <c r="B46" s="14" t="inlineStr">
        <is>
          <t>لا</t>
        </is>
      </c>
      <c r="C46" t="inlineStr">
        <is>
          <t>مدير توضيحي 1</t>
        </is>
      </c>
      <c r="D46" s="7" t="inlineStr">
        <is>
          <t>مشروع خاص توضيحي 045</t>
        </is>
      </c>
      <c r="F46" s="14" t="inlineStr">
        <is>
          <t>الأمانة العامة للمجلس التنفيذي</t>
        </is>
      </c>
      <c r="G46" s="101" t="inlineStr">
        <is>
          <t xml:space="preserve">الأمانة العامة للمجلس التنفيذي ومؤسسة صندوق المعرفة
</t>
        </is>
      </c>
      <c r="H46" s="14" t="inlineStr">
        <is>
          <t>الاقتصاد والتنمية الاجتماعية</t>
        </is>
      </c>
      <c r="I46" s="14" t="inlineStr">
        <is>
          <t>السياسات والاستراتيجيات الاجتماعية</t>
        </is>
      </c>
      <c r="K46" s="14" t="inlineStr">
        <is>
          <t>ديسمبر</t>
        </is>
      </c>
      <c r="L46" s="14" t="n">
        <v>2025</v>
      </c>
      <c r="N46" s="14" t="n">
        <v>2027</v>
      </c>
      <c r="O46" s="14" t="inlineStr">
        <is>
          <t>قيد التطوير</t>
        </is>
      </c>
      <c r="P46" s="14" t="n">
        <v>0.2</v>
      </c>
      <c r="Q46" s="101" t="n"/>
    </row>
    <row r="47">
      <c r="A47" s="101" t="inlineStr">
        <is>
          <t>Social_Performace_Tracker.xlsx</t>
        </is>
      </c>
      <c r="B47" s="14" t="inlineStr">
        <is>
          <t>لا</t>
        </is>
      </c>
      <c r="C47" t="inlineStr">
        <is>
          <t>مدير توضيحي 2</t>
        </is>
      </c>
      <c r="D47" t="inlineStr">
        <is>
          <t>مشروع خاص توضيحي 046</t>
        </is>
      </c>
      <c r="F47" s="14" t="inlineStr">
        <is>
          <t>مؤسسة صندوق المعرفة</t>
        </is>
      </c>
      <c r="G47" s="101" t="n"/>
      <c r="H47" s="14" t="inlineStr">
        <is>
          <t>الاقتصاد والتنمية الاجتماعية</t>
        </is>
      </c>
      <c r="I47" s="14" t="inlineStr">
        <is>
          <t>السياسات والاستراتيجيات الاجتماعية</t>
        </is>
      </c>
      <c r="K47" s="14" t="inlineStr">
        <is>
          <t>سبتمبر</t>
        </is>
      </c>
      <c r="L47" s="14" t="n">
        <v>2021</v>
      </c>
      <c r="M47" s="14" t="inlineStr">
        <is>
          <t>يوليو</t>
        </is>
      </c>
      <c r="N47" s="14" t="n">
        <v>2025</v>
      </c>
      <c r="O47" s="14" t="inlineStr">
        <is>
          <t>منجز</t>
        </is>
      </c>
      <c r="P47" s="14" t="n">
        <v>1</v>
      </c>
      <c r="Q47" s="101" t="n"/>
    </row>
    <row r="48">
      <c r="A48" s="101" t="inlineStr">
        <is>
          <t>Social_Performace_Tracker.xlsx</t>
        </is>
      </c>
      <c r="B48" s="14" t="inlineStr">
        <is>
          <t>لا</t>
        </is>
      </c>
      <c r="C48" t="inlineStr">
        <is>
          <t>مدير توضيحي 3</t>
        </is>
      </c>
      <c r="D48" t="inlineStr">
        <is>
          <t>مشروع خاص توضيحي 047</t>
        </is>
      </c>
      <c r="F48" s="14" t="inlineStr">
        <is>
          <t>الأمانة العامة للمجلس التنفيذي</t>
        </is>
      </c>
      <c r="G48" s="101" t="n"/>
      <c r="H48" s="14" t="inlineStr">
        <is>
          <t>الاقتصاد والتنمية الاجتماعية</t>
        </is>
      </c>
      <c r="I48" s="14" t="inlineStr">
        <is>
          <t>السياسات والاستراتيجيات الاجتماعية</t>
        </is>
      </c>
      <c r="J48" s="14" t="inlineStr">
        <is>
          <t>السياسات والاستراتيجيات الاجتماعية</t>
        </is>
      </c>
      <c r="K48" s="14" t="inlineStr">
        <is>
          <t>ديسمبر</t>
        </is>
      </c>
      <c r="L48" s="14" t="n">
        <v>2023</v>
      </c>
      <c r="M48" s="14" t="inlineStr">
        <is>
          <t>ديسمبر</t>
        </is>
      </c>
      <c r="N48" s="14" t="n">
        <v>2025</v>
      </c>
      <c r="O48" s="14" t="inlineStr">
        <is>
          <t>منجز</t>
        </is>
      </c>
      <c r="P48" s="14" t="n">
        <v>1</v>
      </c>
      <c r="Q48" s="101" t="n"/>
    </row>
    <row r="49">
      <c r="A49" s="101" t="inlineStr">
        <is>
          <t>Social_Performace_Tracker.xlsx</t>
        </is>
      </c>
      <c r="B49" s="14" t="inlineStr">
        <is>
          <t>لا</t>
        </is>
      </c>
      <c r="C49" t="inlineStr">
        <is>
          <t>مدير توضيحي 1</t>
        </is>
      </c>
      <c r="D49" t="inlineStr">
        <is>
          <t>مشروع خاص توضيحي 048</t>
        </is>
      </c>
      <c r="F49" s="14" t="inlineStr">
        <is>
          <t>الأمانة العامة للمجلس التنفيذي</t>
        </is>
      </c>
      <c r="G49" s="101" t="n"/>
      <c r="H49" s="14" t="inlineStr">
        <is>
          <t>الاقتصاد والتنمية الاجتماعية</t>
        </is>
      </c>
      <c r="I49" s="14" t="inlineStr">
        <is>
          <t>السياسات والاستراتيجيات الاجتماعية</t>
        </is>
      </c>
      <c r="K49" s="14" t="inlineStr">
        <is>
          <t>فبراير</t>
        </is>
      </c>
      <c r="L49" s="14" t="n">
        <v>2026</v>
      </c>
      <c r="O49" s="14" t="inlineStr">
        <is>
          <t>قيد التطوير</t>
        </is>
      </c>
      <c r="P49" s="14" t="n">
        <v>0.7</v>
      </c>
      <c r="Q49" s="101" t="n"/>
    </row>
    <row r="50">
      <c r="A50" s="101" t="inlineStr">
        <is>
          <t>Sustainability_Performace_Tracker.xlsx</t>
        </is>
      </c>
      <c r="B50" s="14" t="inlineStr">
        <is>
          <t>نعم</t>
        </is>
      </c>
      <c r="C50" t="inlineStr">
        <is>
          <t>مدير توضيحي 2</t>
        </is>
      </c>
      <c r="D50" s="7" t="inlineStr">
        <is>
          <t>مشروع خاص توضيحي 049</t>
        </is>
      </c>
      <c r="F50" s="14" t="inlineStr">
        <is>
          <t>بلدية دبي</t>
        </is>
      </c>
      <c r="G50" s="101" t="inlineStr">
        <is>
          <t>بلدية دبي/ دائرة الأراضي والأملاك/ القيادة العامة للدفاع المدني</t>
        </is>
      </c>
      <c r="H50" s="14" t="inlineStr">
        <is>
          <t>التنمية المستدامة</t>
        </is>
      </c>
      <c r="I50" s="14" t="inlineStr">
        <is>
          <t>السياسات والاستراتيجيات البيئية والبنية التحتية</t>
        </is>
      </c>
      <c r="K50" s="14" t="inlineStr">
        <is>
          <t>أبريل</t>
        </is>
      </c>
      <c r="L50" s="14" t="n">
        <v>2023</v>
      </c>
      <c r="N50" s="14" t="n">
        <v>2026</v>
      </c>
      <c r="O50" s="14" t="inlineStr">
        <is>
          <t>قيد التطوير</t>
        </is>
      </c>
      <c r="P50" s="14" t="n">
        <v>0.75</v>
      </c>
      <c r="Q50" s="101" t="n"/>
    </row>
    <row r="51">
      <c r="A51" s="101" t="inlineStr">
        <is>
          <t>Sustainability_Performace_Tracker.xlsx</t>
        </is>
      </c>
      <c r="B51" s="14" t="inlineStr">
        <is>
          <t>نعم</t>
        </is>
      </c>
      <c r="C51" t="inlineStr">
        <is>
          <t>مدير توضيحي 3</t>
        </is>
      </c>
      <c r="D51" t="inlineStr">
        <is>
          <t>مشروع خاص توضيحي 050</t>
        </is>
      </c>
      <c r="F51" s="14" t="inlineStr">
        <is>
          <t>القيادة العامة لشرطة دبي</t>
        </is>
      </c>
      <c r="G51" s="101" t="inlineStr">
        <is>
          <t>القيادة العامة لشرطة دبي/ الإدارة العامة للإقامة وشؤون الأجانب</t>
        </is>
      </c>
      <c r="H51" s="14" t="inlineStr">
        <is>
          <t>التنمية المستدامة</t>
        </is>
      </c>
      <c r="I51" s="14" t="inlineStr">
        <is>
          <t>السياسات والاستراتيجيات البيئية والبنية التحتية</t>
        </is>
      </c>
      <c r="K51" s="14" t="inlineStr">
        <is>
          <t>مايو</t>
        </is>
      </c>
      <c r="L51" s="14" t="n">
        <v>2024</v>
      </c>
      <c r="N51" s="14" t="n">
        <v>2026</v>
      </c>
      <c r="O51" s="14" t="inlineStr">
        <is>
          <t>قيد التطوير</t>
        </is>
      </c>
      <c r="P51" s="14" t="n">
        <v>0.75</v>
      </c>
      <c r="Q51" s="101" t="n"/>
    </row>
    <row r="52">
      <c r="A52" s="101" t="inlineStr">
        <is>
          <t>Sustainability_Performace_Tracker.xlsx</t>
        </is>
      </c>
      <c r="B52" s="14" t="inlineStr">
        <is>
          <t>لا</t>
        </is>
      </c>
      <c r="C52" t="inlineStr">
        <is>
          <t>مدير توضيحي 1</t>
        </is>
      </c>
      <c r="D52" t="inlineStr">
        <is>
          <t>مشروع خاص توضيحي 051</t>
        </is>
      </c>
      <c r="F52" s="14" t="inlineStr">
        <is>
          <t>الأمانة العامة للمجلس التنفيذي</t>
        </is>
      </c>
      <c r="G52" s="101" t="n"/>
      <c r="H52" s="14" t="inlineStr">
        <is>
          <t>التنمية المستدامة</t>
        </is>
      </c>
      <c r="I52" s="14" t="inlineStr">
        <is>
          <t>السياسات والاستراتيجيات البيئية والبنية التحتية</t>
        </is>
      </c>
      <c r="L52" s="14" t="n">
        <v>2024</v>
      </c>
      <c r="N52" s="14" t="n">
        <v>2026</v>
      </c>
      <c r="O52" s="14" t="inlineStr">
        <is>
          <t>قيد التطوير</t>
        </is>
      </c>
      <c r="P52" s="14" t="n">
        <v>0.75</v>
      </c>
      <c r="Q52" s="101" t="n"/>
    </row>
    <row r="53">
      <c r="A53" s="101" t="inlineStr">
        <is>
          <t>Sustainability_Performace_Tracker.xlsx</t>
        </is>
      </c>
      <c r="B53" s="14" t="inlineStr">
        <is>
          <t>لا</t>
        </is>
      </c>
      <c r="C53" t="inlineStr">
        <is>
          <t>مدير توضيحي 2</t>
        </is>
      </c>
      <c r="D53" t="inlineStr">
        <is>
          <t>مشروع خاص توضيحي 052</t>
        </is>
      </c>
      <c r="F53" s="14" t="inlineStr">
        <is>
          <t>بلدية دبي</t>
        </is>
      </c>
      <c r="G53" s="101" t="inlineStr">
        <is>
          <t>هيئة دبي الرقمية، الأمانة العامة للمجلس التنفيذي، دائرة الأراضي والأملاك، بلدية دبي، هيئة كهرباء ومياه دبي، هيئة المعرفة والتنمية البشرية</t>
        </is>
      </c>
      <c r="H53" s="14" t="inlineStr">
        <is>
          <t>التنمية المستدامة</t>
        </is>
      </c>
      <c r="I53" s="14" t="inlineStr">
        <is>
          <t>السياسات والاستراتيجيات البيئية والبنية التحتية</t>
        </is>
      </c>
      <c r="K53" s="14" t="inlineStr">
        <is>
          <t>أبريل</t>
        </is>
      </c>
      <c r="L53" s="14" t="n">
        <v>2024</v>
      </c>
      <c r="M53" s="14" t="inlineStr">
        <is>
          <t>ديسمبر</t>
        </is>
      </c>
      <c r="N53" s="14" t="n">
        <v>2026</v>
      </c>
      <c r="O53" s="14" t="inlineStr">
        <is>
          <t>قيد التطوير</t>
        </is>
      </c>
      <c r="P53" s="14" t="n">
        <v>0.5</v>
      </c>
      <c r="Q53" s="101" t="n"/>
    </row>
    <row r="54">
      <c r="A54" s="101" t="inlineStr">
        <is>
          <t>Sustainability_Performace_Tracker.xlsx</t>
        </is>
      </c>
      <c r="B54" s="14" t="inlineStr">
        <is>
          <t>لا</t>
        </is>
      </c>
      <c r="C54" t="inlineStr">
        <is>
          <t>مدير توضيحي 3</t>
        </is>
      </c>
      <c r="D54" t="inlineStr">
        <is>
          <t>مشروع خاص توضيحي 053</t>
        </is>
      </c>
      <c r="F54" s="14" t="inlineStr">
        <is>
          <t>هيئة دبي للبيئة والتغير المناخي</t>
        </is>
      </c>
      <c r="G54" s="101" t="inlineStr">
        <is>
          <t>هيئة دبي للبيئة والتغير المناخي، الأمانة العامة للمجلس التنفيذي، اللجنة التوجيهية للهيئة</t>
        </is>
      </c>
      <c r="H54" s="14" t="inlineStr">
        <is>
          <t>التنمية المستدامة</t>
        </is>
      </c>
      <c r="I54" s="14" t="inlineStr">
        <is>
          <t>السياسات والاستراتيجيات البيئية والبنية التحتية</t>
        </is>
      </c>
      <c r="K54" s="14" t="inlineStr">
        <is>
          <t>يناير</t>
        </is>
      </c>
      <c r="L54" s="14" t="n">
        <v>2024</v>
      </c>
      <c r="M54" s="14" t="inlineStr">
        <is>
          <t>أكتوبر</t>
        </is>
      </c>
      <c r="N54" s="14" t="n">
        <v>2025</v>
      </c>
      <c r="O54" s="14" t="inlineStr">
        <is>
          <t>منجز</t>
        </is>
      </c>
      <c r="P54" s="14" t="n">
        <v>1</v>
      </c>
      <c r="Q54" s="101" t="n"/>
    </row>
    <row r="55">
      <c r="A55" s="101" t="inlineStr">
        <is>
          <t>Sustainability_Performace_Tracker.xlsx</t>
        </is>
      </c>
      <c r="B55" s="14" t="inlineStr">
        <is>
          <t>لا</t>
        </is>
      </c>
      <c r="C55" t="inlineStr">
        <is>
          <t>مدير توضيحي 1</t>
        </is>
      </c>
      <c r="D55" t="inlineStr">
        <is>
          <t>مشروع خاص توضيحي 054</t>
        </is>
      </c>
      <c r="F55" s="14" t="inlineStr">
        <is>
          <t>هيئة دبي للبيئة والتغير المناخي</t>
        </is>
      </c>
      <c r="G55" s="101" t="inlineStr">
        <is>
          <t xml:space="preserve">هيئة دبي للبيئة والتغير المناخي، الأمانة العامة للمجلس التنفيذي، </t>
        </is>
      </c>
      <c r="H55" s="14" t="inlineStr">
        <is>
          <t>التنمية المستدامة</t>
        </is>
      </c>
      <c r="I55" s="14" t="inlineStr">
        <is>
          <t>السياسات والاستراتيجيات البيئية والبنية التحتية</t>
        </is>
      </c>
      <c r="K55" s="14" t="inlineStr">
        <is>
          <t>ديسمبر</t>
        </is>
      </c>
      <c r="L55" s="14" t="n">
        <v>2024</v>
      </c>
      <c r="M55" s="14" t="inlineStr">
        <is>
          <t>ديسمبر</t>
        </is>
      </c>
      <c r="N55" s="14" t="n">
        <v>2025</v>
      </c>
      <c r="O55" s="14" t="inlineStr">
        <is>
          <t>منجز</t>
        </is>
      </c>
      <c r="P55" s="14" t="n">
        <v>0.9</v>
      </c>
      <c r="Q55" s="101" t="n"/>
    </row>
    <row r="56">
      <c r="A56" s="101" t="inlineStr">
        <is>
          <t>Sustainability_Performace_Tracker.xlsx</t>
        </is>
      </c>
      <c r="B56" s="14" t="inlineStr">
        <is>
          <t>لا</t>
        </is>
      </c>
      <c r="C56" t="inlineStr">
        <is>
          <t>مدير توضيحي 2</t>
        </is>
      </c>
      <c r="D56" t="inlineStr">
        <is>
          <t>مشروع خاص توضيحي 055</t>
        </is>
      </c>
      <c r="F56" s="14" t="inlineStr">
        <is>
          <t>الأمانة العامة للمجلس التنفيذي</t>
        </is>
      </c>
      <c r="G56" s="101" t="n"/>
      <c r="H56" s="14" t="inlineStr">
        <is>
          <t>التنمية المستدامة</t>
        </is>
      </c>
      <c r="I56" s="14" t="inlineStr">
        <is>
          <t>السياسات والاستراتيجيات الصحية والعدل</t>
        </is>
      </c>
      <c r="K56" s="14" t="inlineStr">
        <is>
          <t>أبريل</t>
        </is>
      </c>
      <c r="L56" s="14" t="n">
        <v>2025</v>
      </c>
      <c r="M56" s="14" t="inlineStr">
        <is>
          <t>فبراير</t>
        </is>
      </c>
      <c r="N56" s="14" t="n">
        <v>2026</v>
      </c>
      <c r="O56" s="14" t="inlineStr">
        <is>
          <t>منجز</t>
        </is>
      </c>
      <c r="P56" s="14" t="n">
        <v>1</v>
      </c>
      <c r="Q56" s="101" t="n"/>
    </row>
    <row r="57">
      <c r="A57" s="101" t="inlineStr">
        <is>
          <t>Sustainability_Performace_Tracker.xlsx</t>
        </is>
      </c>
      <c r="B57" s="14" t="inlineStr">
        <is>
          <t>لا</t>
        </is>
      </c>
      <c r="C57" t="inlineStr">
        <is>
          <t>مدير توضيحي 3</t>
        </is>
      </c>
      <c r="D57" t="inlineStr">
        <is>
          <t>مشروع خاص توضيحي 056</t>
        </is>
      </c>
      <c r="F57" s="14" t="inlineStr">
        <is>
          <t>الأمانة العامة للمجلس التنفيذي</t>
        </is>
      </c>
      <c r="G57" s="101" t="n"/>
      <c r="H57" s="14" t="inlineStr">
        <is>
          <t>التنمية المستدامة</t>
        </is>
      </c>
      <c r="I57" s="14" t="inlineStr">
        <is>
          <t>السياسات والاستراتيجيات الصحية والعدل</t>
        </is>
      </c>
      <c r="K57" s="14" t="inlineStr">
        <is>
          <t>يوليو</t>
        </is>
      </c>
      <c r="L57" s="14" t="n">
        <v>2025</v>
      </c>
      <c r="M57" s="14" t="inlineStr">
        <is>
          <t>أبريل</t>
        </is>
      </c>
      <c r="N57" s="14" t="n">
        <v>2026</v>
      </c>
      <c r="O57" s="14" t="inlineStr">
        <is>
          <t>منجز</t>
        </is>
      </c>
      <c r="P57" s="14" t="n">
        <v>1</v>
      </c>
      <c r="Q57" s="101" t="n"/>
    </row>
    <row r="58">
      <c r="A58" s="101" t="inlineStr">
        <is>
          <t>Sustainability_Performace_Tracker.xlsx</t>
        </is>
      </c>
      <c r="B58" s="14" t="inlineStr">
        <is>
          <t>نعم</t>
        </is>
      </c>
      <c r="C58" t="inlineStr">
        <is>
          <t>مدير توضيحي 1</t>
        </is>
      </c>
      <c r="D58" t="inlineStr">
        <is>
          <t>مشروع خاص توضيحي 057</t>
        </is>
      </c>
      <c r="F58" s="14" t="inlineStr">
        <is>
          <t>الأمانة العامة للمجلس التنفيذي</t>
        </is>
      </c>
      <c r="G58" s="101" t="n"/>
      <c r="H58" s="14" t="inlineStr">
        <is>
          <t>التنمية المستدامة</t>
        </is>
      </c>
      <c r="I58" s="14" t="inlineStr">
        <is>
          <t>السياسات والاستراتيجيات البيئية والبنية التحتية</t>
        </is>
      </c>
      <c r="K58" s="14" t="inlineStr">
        <is>
          <t>سبتمبر</t>
        </is>
      </c>
      <c r="L58" s="14" t="n">
        <v>2025</v>
      </c>
      <c r="M58" s="14" t="inlineStr">
        <is>
          <t>أكتوبر</t>
        </is>
      </c>
      <c r="N58" s="14" t="n">
        <v>2025</v>
      </c>
      <c r="O58" s="14" t="inlineStr">
        <is>
          <t>منجز</t>
        </is>
      </c>
      <c r="P58" s="14" t="n">
        <v>1</v>
      </c>
      <c r="Q58" s="101" t="n"/>
    </row>
    <row r="59">
      <c r="A59" s="101" t="inlineStr">
        <is>
          <t>Sustainability_Performace_Tracker.xlsx</t>
        </is>
      </c>
      <c r="B59" s="14" t="inlineStr">
        <is>
          <t>نعم</t>
        </is>
      </c>
      <c r="C59" t="inlineStr">
        <is>
          <t>مدير توضيحي 2</t>
        </is>
      </c>
      <c r="D59" t="inlineStr">
        <is>
          <t>مشروع خاص توضيحي 058</t>
        </is>
      </c>
      <c r="F59" s="14" t="inlineStr">
        <is>
          <t>الأمانة العامة للمجلس التنفيذي</t>
        </is>
      </c>
      <c r="G59" s="101" t="n"/>
      <c r="H59" s="14" t="inlineStr">
        <is>
          <t>التنمية المستدامة</t>
        </is>
      </c>
      <c r="I59" s="14" t="inlineStr">
        <is>
          <t>السياسات والاستراتيجيات البيئية والبنية التحتية</t>
        </is>
      </c>
      <c r="K59" s="14" t="inlineStr">
        <is>
          <t>مارس</t>
        </is>
      </c>
      <c r="L59" s="14" t="n">
        <v>2024</v>
      </c>
      <c r="M59" s="14" t="inlineStr">
        <is>
          <t>ديسمبر</t>
        </is>
      </c>
      <c r="N59" s="14" t="n">
        <v>2026</v>
      </c>
      <c r="O59" s="14" t="inlineStr">
        <is>
          <t>قيد التطوير</t>
        </is>
      </c>
      <c r="P59" s="14" t="n">
        <v>0.75</v>
      </c>
      <c r="Q59" s="101" t="n"/>
    </row>
    <row r="60">
      <c r="A60" s="101" t="inlineStr">
        <is>
          <t>Sustainability_Performace_Tracker.xlsx</t>
        </is>
      </c>
      <c r="B60" s="14" t="inlineStr">
        <is>
          <t>نعم</t>
        </is>
      </c>
      <c r="C60" t="inlineStr">
        <is>
          <t>مدير توضيحي 3</t>
        </is>
      </c>
      <c r="D60" t="inlineStr">
        <is>
          <t>مشروع خاص توضيحي 059</t>
        </is>
      </c>
      <c r="F60" s="14" t="inlineStr">
        <is>
          <t>بلدية دبي</t>
        </is>
      </c>
      <c r="G60" s="101" t="n"/>
      <c r="H60" s="14" t="inlineStr">
        <is>
          <t>التنمية المستدامة</t>
        </is>
      </c>
      <c r="I60" s="14" t="inlineStr">
        <is>
          <t>السياسات والاستراتيجيات البيئية والبنية التحتية</t>
        </is>
      </c>
      <c r="K60" s="14" t="inlineStr">
        <is>
          <t>ديسمبر</t>
        </is>
      </c>
      <c r="L60" s="14" t="n">
        <v>2025</v>
      </c>
      <c r="M60" s="14" t="inlineStr">
        <is>
          <t>أغسطس</t>
        </is>
      </c>
      <c r="N60" s="14" t="n">
        <v>2029</v>
      </c>
      <c r="O60" s="14" t="inlineStr">
        <is>
          <t>قيد التطوير</t>
        </is>
      </c>
      <c r="P60" s="14" t="n">
        <v>0.5</v>
      </c>
      <c r="Q60" s="101" t="n"/>
    </row>
    <row r="61">
      <c r="A61" s="101" t="inlineStr">
        <is>
          <t>Sustainability_Performace_Tracker.xlsx</t>
        </is>
      </c>
      <c r="B61" s="14" t="inlineStr">
        <is>
          <t>نعم</t>
        </is>
      </c>
      <c r="C61" t="inlineStr">
        <is>
          <t>مدير توضيحي 1</t>
        </is>
      </c>
      <c r="D61" t="inlineStr">
        <is>
          <t>مشروع خاص توضيحي 060</t>
        </is>
      </c>
      <c r="F61" s="14" t="inlineStr">
        <is>
          <t>دائرة الأراضي والأملاك</t>
        </is>
      </c>
      <c r="G61" s="101" t="n"/>
      <c r="H61" s="14" t="inlineStr">
        <is>
          <t>التنمية المستدامة</t>
        </is>
      </c>
      <c r="I61" s="14" t="inlineStr">
        <is>
          <t>السياسات والاستراتيجيات البيئية والبنية التحتية</t>
        </is>
      </c>
      <c r="K61" s="14" t="inlineStr">
        <is>
          <t>فبراير</t>
        </is>
      </c>
      <c r="L61" s="14" t="n">
        <v>2026</v>
      </c>
      <c r="M61" s="14" t="inlineStr">
        <is>
          <t>فبراير</t>
        </is>
      </c>
      <c r="N61" s="14" t="n">
        <v>2027</v>
      </c>
      <c r="O61" s="14" t="inlineStr">
        <is>
          <t>قيد التطوير</t>
        </is>
      </c>
      <c r="P61" s="14" t="n">
        <v>0.5</v>
      </c>
      <c r="Q61" s="101" t="n"/>
    </row>
    <row r="62">
      <c r="A62" s="101" t="inlineStr">
        <is>
          <t>Sustainability_Performace_Tracker.xlsx</t>
        </is>
      </c>
      <c r="C62" t="inlineStr">
        <is>
          <t>مدير توضيحي 2</t>
        </is>
      </c>
      <c r="D62" t="inlineStr">
        <is>
          <t>مشروع خاص توضيحي 061</t>
        </is>
      </c>
      <c r="F62" s="14" t="inlineStr">
        <is>
          <t>بلدية دبي</t>
        </is>
      </c>
      <c r="G62" s="101" t="n"/>
      <c r="H62" s="14" t="inlineStr">
        <is>
          <t>التنمية المستدامة</t>
        </is>
      </c>
      <c r="I62" s="14" t="inlineStr">
        <is>
          <t>السياسات والاستراتيجيات البيئية والبنية التحتية</t>
        </is>
      </c>
      <c r="K62" s="14" t="inlineStr">
        <is>
          <t>يوليو</t>
        </is>
      </c>
      <c r="L62" s="14" t="n">
        <v>2026</v>
      </c>
      <c r="O62" s="14" t="inlineStr">
        <is>
          <t>قيد المراجعة</t>
        </is>
      </c>
      <c r="P62" s="14" t="n">
        <v>0.9</v>
      </c>
      <c r="Q62" s="101" t="n"/>
    </row>
    <row r="63">
      <c r="A63" s="101" t="inlineStr">
        <is>
          <t>Sustainability_Performace_Tracker.xlsx</t>
        </is>
      </c>
      <c r="C63" t="inlineStr">
        <is>
          <t>مدير توضيحي 3</t>
        </is>
      </c>
      <c r="D63" t="inlineStr">
        <is>
          <t>مشروع خاص توضيحي 062</t>
        </is>
      </c>
      <c r="F63" s="14" t="inlineStr">
        <is>
          <t>هيئة دبي للبيئة والتغير المناخي</t>
        </is>
      </c>
      <c r="G63" s="101" t="n"/>
      <c r="H63" s="14" t="inlineStr">
        <is>
          <t>التنمية المستدامة</t>
        </is>
      </c>
      <c r="I63" s="14" t="inlineStr">
        <is>
          <t>السياسات والاستراتيجيات البيئية والبنية التحتية</t>
        </is>
      </c>
      <c r="K63" s="14" t="inlineStr">
        <is>
          <t>فبراير</t>
        </is>
      </c>
      <c r="L63" s="14" t="n">
        <v>2026</v>
      </c>
      <c r="O63" s="14" t="inlineStr">
        <is>
          <t>منجز</t>
        </is>
      </c>
      <c r="P63" s="14" t="n">
        <v>0.9</v>
      </c>
      <c r="Q63" s="101" t="n"/>
    </row>
  </sheetData>
  <conditionalFormatting sqref="C64:C1048576 D1:D63">
    <cfRule type="duplicateValues" priority="1" dxfId="0"/>
  </conditionalFormatting>
  <dataValidations count="9">
    <dataValidation sqref="G63" showDropDown="0" showInputMessage="1" showErrorMessage="1" allowBlank="1" errorTitle="اختيار خاطئ!" error="يرجى الاختيار من القائمة فقط."/>
    <dataValidation sqref="L2:L63 N2:N63" showDropDown="0" showInputMessage="1" showErrorMessage="1" allowBlank="1" errorTitle="اختيار خاطئ!" error="يرجى الاختيار من القائمة فقط." type="list">
      <formula1>YearsList</formula1>
    </dataValidation>
    <dataValidation sqref="K2:K63 M2:M63" showDropDown="0" showInputMessage="1" showErrorMessage="1" allowBlank="1" errorTitle="اختيار خاطئ!" error="يرجى الاختيار من القائمة فقط." type="list">
      <formula1>MonthsList</formula1>
    </dataValidation>
    <dataValidation sqref="I2:I63" showDropDown="0" showInputMessage="1" showErrorMessage="1" allowBlank="1" errorTitle="اختيار خاطئ!" error="يرجى الاختيار من القائمة فقط." type="list">
      <formula1>DepartmentsList</formula1>
    </dataValidation>
    <dataValidation sqref="H2:H63" showDropDown="0" showInputMessage="1" showErrorMessage="1" allowBlank="1" errorTitle="اختيار خاطئ!" error="يرجى الاختيار من القائمة فقط." type="list">
      <formula1>SectorsList</formula1>
    </dataValidation>
    <dataValidation sqref="F2:F63" showDropDown="0" showInputMessage="1" showErrorMessage="1" allowBlank="1" errorTitle="اختيار خاطئ!" error="يرجى الاختيار من القائمة فقط." type="list">
      <formula1>EntitiesList</formula1>
    </dataValidation>
    <dataValidation sqref="B2:B63" showDropDown="0" showInputMessage="1" showErrorMessage="1" allowBlank="1" errorTitle="اختيار خاطئ!" error="يرجى الاختيار من القائمة فقط." type="list">
      <formula1>YesNoList</formula1>
    </dataValidation>
    <dataValidation sqref="O2:O63" showDropDown="0" showInputMessage="1" showErrorMessage="1" allowBlank="1" errorTitle="اختيار خاطئ!" error="يرجى الاختيار من القائمة فقط." type="list">
      <formula1>WorkStatusList</formula1>
    </dataValidation>
    <dataValidation sqref="P2:P63" showDropDown="0" showInputMessage="1" showErrorMessage="1" allowBlank="1" errorTitle="اختيار خاطئ!" error="يرجى الاختيار من القائمة فقط." type="list">
      <formula1>CompletionList</formula1>
    </dataValidation>
  </dataValidations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85"/>
  <sheetViews>
    <sheetView rightToLeft="1" zoomScaleNormal="100" workbookViewId="0">
      <pane ySplit="1" topLeftCell="A2" activePane="bottomLeft" state="frozen"/>
      <selection activeCell="I23" sqref="I23:L25"/>
      <selection pane="bottomLeft" activeCell="A1" sqref="A1"/>
    </sheetView>
  </sheetViews>
  <sheetFormatPr baseColWidth="8" defaultColWidth="25.7109375" defaultRowHeight="18.75"/>
  <cols>
    <col width="4.28515625" bestFit="1" customWidth="1" style="16" min="1" max="1"/>
    <col width="27.85546875" bestFit="1" customWidth="1" style="16" min="2" max="2"/>
    <col width="26.140625" customWidth="1" style="101" min="3" max="3"/>
    <col width="12.85546875" bestFit="1" customWidth="1" style="16" min="4" max="4"/>
    <col width="16.5703125" bestFit="1" customWidth="1" style="16" min="5" max="5"/>
    <col width="7.42578125" bestFit="1" customWidth="1" style="16" min="6" max="6"/>
    <col width="10.140625" bestFit="1" customWidth="1" style="16" min="7" max="7"/>
    <col width="13" bestFit="1" customWidth="1" style="16" min="8" max="8"/>
    <col width="12" bestFit="1" customWidth="1" style="16" min="9" max="9"/>
    <col width="13.5703125" bestFit="1" customWidth="1" style="16" min="10" max="10"/>
    <col width="15.7109375" bestFit="1" customWidth="1" style="16" min="11" max="11"/>
    <col width="21.5703125" bestFit="1" customWidth="1" style="16" min="12" max="12"/>
    <col width="10.28515625" bestFit="1" customWidth="1" style="16" min="13" max="13"/>
    <col width="13.140625" bestFit="1" customWidth="1" style="16" min="14" max="14"/>
    <col width="23" bestFit="1" customWidth="1" style="16" min="15" max="15"/>
    <col width="13.28515625" bestFit="1" customWidth="1" style="16" min="16" max="16"/>
    <col width="13.42578125" bestFit="1" customWidth="1" style="16" min="17" max="17"/>
    <col width="11.42578125" bestFit="1" customWidth="1" style="16" min="18" max="18"/>
    <col width="20" bestFit="1" customWidth="1" style="16" min="19" max="19"/>
    <col width="14.5703125" bestFit="1" customWidth="1" style="16" min="20" max="20"/>
    <col width="7.7109375" bestFit="1" customWidth="1" style="16" min="21" max="21"/>
    <col width="9.85546875" bestFit="1" customWidth="1" style="16" min="22" max="22"/>
    <col width="18.42578125" bestFit="1" customWidth="1" style="16" min="23" max="23"/>
    <col width="25.7109375" customWidth="1" style="16" min="24" max="16384"/>
  </cols>
  <sheetData>
    <row r="1">
      <c r="A1" s="16" t="inlineStr">
        <is>
          <t>#</t>
        </is>
      </c>
      <c r="B1" s="16" t="inlineStr">
        <is>
          <t>القطاع</t>
        </is>
      </c>
      <c r="C1" s="16" t="inlineStr">
        <is>
          <t xml:space="preserve">الإدارة </t>
        </is>
      </c>
      <c r="D1" s="16" t="inlineStr">
        <is>
          <t>اسم المشروع</t>
        </is>
      </c>
      <c r="E1" s="16" t="inlineStr">
        <is>
          <t>نبذة حول المشروع</t>
        </is>
      </c>
      <c r="F1" s="16" t="inlineStr">
        <is>
          <t>أولوية</t>
        </is>
      </c>
      <c r="G1" s="16" t="inlineStr">
        <is>
          <t>نوع</t>
        </is>
      </c>
      <c r="H1" s="16" t="inlineStr">
        <is>
          <t>مدير المشروع</t>
        </is>
      </c>
      <c r="I1" s="16" t="inlineStr">
        <is>
          <t>بدء المشروع</t>
        </is>
      </c>
      <c r="J1" s="16" t="inlineStr">
        <is>
          <t>انتهاء المشروع</t>
        </is>
      </c>
      <c r="K1" s="16" t="inlineStr">
        <is>
          <t>الموازنة المعتمدة</t>
        </is>
      </c>
      <c r="L1" s="16" t="inlineStr">
        <is>
          <t>الموازنة المعتمدة الجديدة</t>
        </is>
      </c>
      <c r="M1" s="16" t="inlineStr">
        <is>
          <t>المخصص</t>
        </is>
      </c>
      <c r="N1" s="16" t="inlineStr">
        <is>
          <t>غير المخصص</t>
        </is>
      </c>
      <c r="O1" s="16" t="inlineStr">
        <is>
          <t>المنفق الفعلي حسب العمل</t>
        </is>
      </c>
      <c r="P1" s="6" t="inlineStr">
        <is>
          <t>المنفق الفعلي</t>
        </is>
      </c>
      <c r="Q1" s="16" t="inlineStr">
        <is>
          <t>مستوى الإنجاز</t>
        </is>
      </c>
      <c r="R1" s="16" t="inlineStr">
        <is>
          <t>نسبة الإنجاز</t>
        </is>
      </c>
      <c r="S1" s="16" t="inlineStr">
        <is>
          <t>ملاحظات مدير المشروع</t>
        </is>
      </c>
      <c r="T1" s="16" t="inlineStr">
        <is>
          <t>ملاحظات المالية</t>
        </is>
      </c>
      <c r="U1" s="76" t="inlineStr">
        <is>
          <t>الربع</t>
        </is>
      </c>
      <c r="V1" s="76" t="inlineStr">
        <is>
          <t>Late KPI</t>
        </is>
      </c>
      <c r="W1" s="76" t="inlineStr">
        <is>
          <t>Original Comments</t>
        </is>
      </c>
    </row>
    <row r="2">
      <c r="A2" s="16" t="n">
        <v>52</v>
      </c>
      <c r="B2" s="16" t="inlineStr">
        <is>
          <t>الاتصال الحكومي وشؤون الأمانة العامة</t>
        </is>
      </c>
      <c r="C2" s="16" t="inlineStr">
        <is>
          <t>الاتصال الحكومي</t>
        </is>
      </c>
      <c r="D2" t="inlineStr">
        <is>
          <t>مشروع استراتيجي توضيحي 001</t>
        </is>
      </c>
      <c r="F2" s="16" t="inlineStr">
        <is>
          <t>H</t>
        </is>
      </c>
      <c r="G2" s="16" t="inlineStr">
        <is>
          <t>Strategic</t>
        </is>
      </c>
      <c r="H2" t="inlineStr">
        <is>
          <t>مدير توضيحي 2</t>
        </is>
      </c>
      <c r="I2" s="17" t="inlineStr">
        <is>
          <t>Jan</t>
        </is>
      </c>
      <c r="J2" s="17" t="inlineStr">
        <is>
          <t>Dec</t>
        </is>
      </c>
      <c r="K2" s="18" t="n">
        <v>157500</v>
      </c>
      <c r="L2" s="18" t="n">
        <v>175000</v>
      </c>
      <c r="M2" s="18" t="n">
        <v>140000</v>
      </c>
      <c r="N2" s="18" t="n">
        <v>35000</v>
      </c>
      <c r="O2" s="18" t="n">
        <v>131250</v>
      </c>
      <c r="P2" s="18" t="n">
        <v>61249.99999999999</v>
      </c>
      <c r="Q2" s="100" t="inlineStr">
        <is>
          <t>Active</t>
        </is>
      </c>
      <c r="R2" s="100" t="n">
        <v>0.75</v>
      </c>
      <c r="S2" t="inlineStr">
        <is>
          <t>ملاحظة توضيحية: يتطلب البند مراجعة المستجدات وتأكيد الخطوة المقبلة مع الوحدة المعنية.</t>
        </is>
      </c>
      <c r="T2" t="inlineStr">
        <is>
          <t>ملاحظة توضيحية: يتطلب البند مراجعة المستجدات وتأكيد الخطوة المقبلة مع الوحدة المعنية.</t>
        </is>
      </c>
      <c r="U2" s="16">
        <f>IF(ISNUMBER(J2),IF(YEAR(J2)=YEAR(ValidationDate),"Q"&amp;ROUNDUP(MONTH(J2)/3,0),YEAR(J2)&amp;" Q"&amp;ROUNDUP(MONTH(J2)/3,0)),IFERROR("Q"&amp;ROUNDUP(MATCH(UPPER(TRIM(J2)),{"JAN","FEB","MAR","APR","MAY","JUN","JUL","AUG","SEP","OCT","NOV","DEC"},0)/3,0),""))</f>
        <v/>
      </c>
      <c r="V2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3">
      <c r="A3" s="16" t="n">
        <v>53</v>
      </c>
      <c r="B3" s="16" t="inlineStr">
        <is>
          <t>الاتصال الحكومي وشؤون الأمانة العامة</t>
        </is>
      </c>
      <c r="C3" s="16" t="inlineStr">
        <is>
          <t>الاتصال الحكومي</t>
        </is>
      </c>
      <c r="D3" t="inlineStr">
        <is>
          <t>مشروع استراتيجي توضيحي 002</t>
        </is>
      </c>
      <c r="F3" s="16" t="inlineStr">
        <is>
          <t>H</t>
        </is>
      </c>
      <c r="G3" s="16" t="inlineStr">
        <is>
          <t>Strategic</t>
        </is>
      </c>
      <c r="H3" t="inlineStr">
        <is>
          <t>مدير توضيحي 3</t>
        </is>
      </c>
      <c r="I3" s="17" t="inlineStr">
        <is>
          <t>Jan</t>
        </is>
      </c>
      <c r="J3" s="17" t="inlineStr">
        <is>
          <t>Dec</t>
        </is>
      </c>
      <c r="K3" s="18" t="n">
        <v>168750</v>
      </c>
      <c r="L3" s="18" t="n">
        <v>187500</v>
      </c>
      <c r="M3" s="18" t="n">
        <v>150000</v>
      </c>
      <c r="N3" s="18" t="n">
        <v>37500</v>
      </c>
      <c r="O3" s="18" t="n">
        <v>140625</v>
      </c>
      <c r="P3" s="18" t="n">
        <v>65625</v>
      </c>
      <c r="Q3" s="100" t="inlineStr">
        <is>
          <t>Active</t>
        </is>
      </c>
      <c r="R3" s="100" t="n">
        <v>0.75</v>
      </c>
      <c r="U3" s="16">
        <f>IF(ISNUMBER(J3),IF(YEAR(J3)=YEAR(ValidationDate),"Q"&amp;ROUNDUP(MONTH(J3)/3,0),YEAR(J3)&amp;" Q"&amp;ROUNDUP(MONTH(J3)/3,0)),IFERROR("Q"&amp;ROUNDUP(MATCH(UPPER(TRIM(J3)),{"JAN","FEB","MAR","APR","MAY","JUN","JUL","AUG","SEP","OCT","NOV","DEC"},0)/3,0),""))</f>
        <v/>
      </c>
      <c r="V3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4">
      <c r="A4" s="16" t="n">
        <v>54</v>
      </c>
      <c r="B4" s="16" t="inlineStr">
        <is>
          <t>الاتصال الحكومي وشؤون الأمانة العامة</t>
        </is>
      </c>
      <c r="C4" s="16" t="inlineStr">
        <is>
          <t>الاتصال الحكومي</t>
        </is>
      </c>
      <c r="D4" t="inlineStr">
        <is>
          <t>مشروع استراتيجي توضيحي 003</t>
        </is>
      </c>
      <c r="F4" s="16" t="inlineStr">
        <is>
          <t>H</t>
        </is>
      </c>
      <c r="G4" s="16" t="inlineStr">
        <is>
          <t>Strategic</t>
        </is>
      </c>
      <c r="H4" t="inlineStr">
        <is>
          <t>مدير توضيحي 1</t>
        </is>
      </c>
      <c r="I4" s="17" t="inlineStr">
        <is>
          <t>Jan</t>
        </is>
      </c>
      <c r="J4" s="17" t="inlineStr">
        <is>
          <t>Dec</t>
        </is>
      </c>
      <c r="K4" s="18" t="n">
        <v>180000</v>
      </c>
      <c r="L4" s="18" t="n">
        <v>200000</v>
      </c>
      <c r="M4" s="18" t="n">
        <v>160000</v>
      </c>
      <c r="N4" s="18" t="n">
        <v>40000</v>
      </c>
      <c r="O4" s="18" t="n">
        <v>150000</v>
      </c>
      <c r="P4" s="18" t="n">
        <v>70000</v>
      </c>
      <c r="Q4" s="100" t="inlineStr">
        <is>
          <t>Active</t>
        </is>
      </c>
      <c r="R4" s="100" t="n">
        <v>0.75</v>
      </c>
      <c r="U4" s="16">
        <f>IF(ISNUMBER(J4),IF(YEAR(J4)=YEAR(ValidationDate),"Q"&amp;ROUNDUP(MONTH(J4)/3,0),YEAR(J4)&amp;" Q"&amp;ROUNDUP(MONTH(J4)/3,0)),IFERROR("Q"&amp;ROUNDUP(MATCH(UPPER(TRIM(J4)),{"JAN","FEB","MAR","APR","MAY","JUN","JUL","AUG","SEP","OCT","NOV","DEC"},0)/3,0),""))</f>
        <v/>
      </c>
      <c r="V4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5">
      <c r="A5" s="16" t="n">
        <v>55</v>
      </c>
      <c r="B5" s="16" t="inlineStr">
        <is>
          <t>الاتصال الحكومي وشؤون الأمانة العامة</t>
        </is>
      </c>
      <c r="C5" s="16" t="inlineStr">
        <is>
          <t>الاتصال الحكومي</t>
        </is>
      </c>
      <c r="D5" t="inlineStr">
        <is>
          <t>مشروع استراتيجي توضيحي 004</t>
        </is>
      </c>
      <c r="F5" s="16" t="inlineStr">
        <is>
          <t>M</t>
        </is>
      </c>
      <c r="G5" s="16" t="inlineStr">
        <is>
          <t>Operational</t>
        </is>
      </c>
      <c r="H5" t="inlineStr">
        <is>
          <t>مدير توضيحي 2</t>
        </is>
      </c>
      <c r="I5" s="17" t="inlineStr">
        <is>
          <t>Jan</t>
        </is>
      </c>
      <c r="J5" s="17" t="inlineStr">
        <is>
          <t>Dec</t>
        </is>
      </c>
      <c r="K5" s="18" t="n">
        <v>191250</v>
      </c>
      <c r="L5" s="18" t="n">
        <v>212500</v>
      </c>
      <c r="M5" s="18" t="n">
        <v>170000</v>
      </c>
      <c r="N5" s="18" t="n">
        <v>42500</v>
      </c>
      <c r="O5" s="18" t="n">
        <v>148750</v>
      </c>
      <c r="P5" s="18" t="n">
        <v>74375</v>
      </c>
      <c r="Q5" s="100" t="inlineStr">
        <is>
          <t>Active</t>
        </is>
      </c>
      <c r="R5" s="100" t="n">
        <v>0.7</v>
      </c>
      <c r="U5" s="16">
        <f>IF(ISNUMBER(J5),IF(YEAR(J5)=YEAR(ValidationDate),"Q"&amp;ROUNDUP(MONTH(J5)/3,0),YEAR(J5)&amp;" Q"&amp;ROUNDUP(MONTH(J5)/3,0)),IFERROR("Q"&amp;ROUNDUP(MATCH(UPPER(TRIM(J5)),{"JAN","FEB","MAR","APR","MAY","JUN","JUL","AUG","SEP","OCT","NOV","DEC"},0)/3,0),""))</f>
        <v/>
      </c>
      <c r="V5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6">
      <c r="A6" s="16" t="n">
        <v>56</v>
      </c>
      <c r="B6" s="16" t="inlineStr">
        <is>
          <t>الاتصال الحكومي وشؤون الأمانة العامة</t>
        </is>
      </c>
      <c r="C6" s="16" t="inlineStr">
        <is>
          <t>الاتصال الحكومي</t>
        </is>
      </c>
      <c r="D6" t="inlineStr">
        <is>
          <t>مشروع استراتيجي توضيحي 005</t>
        </is>
      </c>
      <c r="F6" s="16" t="inlineStr">
        <is>
          <t>H</t>
        </is>
      </c>
      <c r="G6" s="16" t="inlineStr">
        <is>
          <t>Operational</t>
        </is>
      </c>
      <c r="H6" t="inlineStr">
        <is>
          <t>مدير توضيحي 3</t>
        </is>
      </c>
      <c r="I6" s="17" t="inlineStr">
        <is>
          <t>Jan</t>
        </is>
      </c>
      <c r="J6" s="17" t="inlineStr">
        <is>
          <t>Dec</t>
        </is>
      </c>
      <c r="K6" s="18" t="n">
        <v>202500</v>
      </c>
      <c r="L6" s="18" t="n">
        <v>225000</v>
      </c>
      <c r="M6" s="18" t="n">
        <v>180000</v>
      </c>
      <c r="N6" s="18" t="n">
        <v>45000</v>
      </c>
      <c r="O6" s="18" t="n">
        <v>168750</v>
      </c>
      <c r="P6" s="18" t="n">
        <v>78750</v>
      </c>
      <c r="Q6" s="100" t="inlineStr">
        <is>
          <t>Active</t>
        </is>
      </c>
      <c r="R6" s="100" t="n">
        <v>0.75</v>
      </c>
      <c r="U6" s="16">
        <f>IF(ISNUMBER(J6),IF(YEAR(J6)=YEAR(ValidationDate),"Q"&amp;ROUNDUP(MONTH(J6)/3,0),YEAR(J6)&amp;" Q"&amp;ROUNDUP(MONTH(J6)/3,0)),IFERROR("Q"&amp;ROUNDUP(MATCH(UPPER(TRIM(J6)),{"JAN","FEB","MAR","APR","MAY","JUN","JUL","AUG","SEP","OCT","NOV","DEC"},0)/3,0),""))</f>
        <v/>
      </c>
      <c r="V6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7">
      <c r="A7" s="16" t="n">
        <v>57</v>
      </c>
      <c r="B7" s="16" t="inlineStr">
        <is>
          <t>الاتصال الحكومي وشؤون الأمانة العامة</t>
        </is>
      </c>
      <c r="C7" s="16" t="inlineStr">
        <is>
          <t>الاتصال الحكومي</t>
        </is>
      </c>
      <c r="D7" t="inlineStr">
        <is>
          <t>مشروع استراتيجي توضيحي 006</t>
        </is>
      </c>
      <c r="F7" s="16" t="inlineStr">
        <is>
          <t>M</t>
        </is>
      </c>
      <c r="G7" s="16" t="inlineStr">
        <is>
          <t>Operational</t>
        </is>
      </c>
      <c r="H7" t="inlineStr">
        <is>
          <t>مدير توضيحي 1</t>
        </is>
      </c>
      <c r="I7" s="17" t="inlineStr">
        <is>
          <t>Jan</t>
        </is>
      </c>
      <c r="J7" s="17" t="inlineStr">
        <is>
          <t>Dec</t>
        </is>
      </c>
      <c r="K7" s="18" t="n">
        <v>213750</v>
      </c>
      <c r="L7" s="18" t="n">
        <v>237500</v>
      </c>
      <c r="M7" s="18" t="n">
        <v>190000</v>
      </c>
      <c r="N7" s="18" t="n">
        <v>47500</v>
      </c>
      <c r="O7" s="18" t="n">
        <v>0</v>
      </c>
      <c r="P7" s="18" t="n">
        <v>83125</v>
      </c>
      <c r="Q7" s="100" t="inlineStr">
        <is>
          <t>Frozen</t>
        </is>
      </c>
      <c r="R7" s="100" t="n">
        <v>0</v>
      </c>
      <c r="U7" s="16">
        <f>IF(ISNUMBER(J7),IF(YEAR(J7)=YEAR(ValidationDate),"Q"&amp;ROUNDUP(MONTH(J7)/3,0),YEAR(J7)&amp;" Q"&amp;ROUNDUP(MONTH(J7)/3,0)),IFERROR("Q"&amp;ROUNDUP(MATCH(UPPER(TRIM(J7)),{"JAN","FEB","MAR","APR","MAY","JUN","JUL","AUG","SEP","OCT","NOV","DEC"},0)/3,0),""))</f>
        <v/>
      </c>
      <c r="V7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8">
      <c r="A8" s="16" t="n">
        <v>58</v>
      </c>
      <c r="B8" s="16" t="inlineStr">
        <is>
          <t>الاتصال الحكومي وشؤون الأمانة العامة</t>
        </is>
      </c>
      <c r="C8" s="16" t="inlineStr">
        <is>
          <t>الاتصال الحكومي</t>
        </is>
      </c>
      <c r="D8" t="inlineStr">
        <is>
          <t>مشروع استراتيجي توضيحي 007</t>
        </is>
      </c>
      <c r="F8" s="16" t="inlineStr">
        <is>
          <t>H</t>
        </is>
      </c>
      <c r="G8" s="16" t="inlineStr">
        <is>
          <t>Operational</t>
        </is>
      </c>
      <c r="H8" t="inlineStr">
        <is>
          <t>مدير توضيحي 2</t>
        </is>
      </c>
      <c r="I8" s="17" t="inlineStr">
        <is>
          <t>Jan</t>
        </is>
      </c>
      <c r="J8" s="17" t="inlineStr">
        <is>
          <t>Dec</t>
        </is>
      </c>
      <c r="K8" s="18" t="n">
        <v>225000</v>
      </c>
      <c r="L8" s="18" t="n">
        <v>250000</v>
      </c>
      <c r="M8" s="18" t="n">
        <v>200000</v>
      </c>
      <c r="N8" s="18" t="n">
        <v>50000</v>
      </c>
      <c r="O8" s="18" t="n">
        <v>162500</v>
      </c>
      <c r="P8" s="18" t="n">
        <v>87500</v>
      </c>
      <c r="Q8" s="100" t="inlineStr">
        <is>
          <t>Active</t>
        </is>
      </c>
      <c r="R8" s="100" t="n">
        <v>0.65</v>
      </c>
      <c r="U8" s="16">
        <f>IF(ISNUMBER(J8),IF(YEAR(J8)=YEAR(ValidationDate),"Q"&amp;ROUNDUP(MONTH(J8)/3,0),YEAR(J8)&amp;" Q"&amp;ROUNDUP(MONTH(J8)/3,0)),IFERROR("Q"&amp;ROUNDUP(MATCH(UPPER(TRIM(J8)),{"JAN","FEB","MAR","APR","MAY","JUN","JUL","AUG","SEP","OCT","NOV","DEC"},0)/3,0),""))</f>
        <v/>
      </c>
      <c r="V8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9">
      <c r="A9" s="16" t="n">
        <v>61</v>
      </c>
      <c r="B9" s="16" t="inlineStr">
        <is>
          <t>الاتصال الحكومي وشؤون الأمانة العامة</t>
        </is>
      </c>
      <c r="C9" s="16" t="inlineStr">
        <is>
          <t>الاتصال الحكومي</t>
        </is>
      </c>
      <c r="D9" t="inlineStr">
        <is>
          <t>مشروع استراتيجي توضيحي 008</t>
        </is>
      </c>
      <c r="F9" s="16" t="inlineStr">
        <is>
          <t>H</t>
        </is>
      </c>
      <c r="G9" s="16" t="inlineStr">
        <is>
          <t>Operational</t>
        </is>
      </c>
      <c r="H9" t="inlineStr">
        <is>
          <t>مدير توضيحي 3</t>
        </is>
      </c>
      <c r="I9" s="17" t="inlineStr">
        <is>
          <t>Jan</t>
        </is>
      </c>
      <c r="J9" s="17" t="inlineStr">
        <is>
          <t>Dec</t>
        </is>
      </c>
      <c r="K9" s="18" t="n">
        <v>236250</v>
      </c>
      <c r="L9" s="18" t="n">
        <v>262500</v>
      </c>
      <c r="M9" s="18" t="n">
        <v>210000</v>
      </c>
      <c r="N9" s="18" t="n">
        <v>52500</v>
      </c>
      <c r="O9" s="18" t="n">
        <v>0</v>
      </c>
      <c r="P9" s="18" t="n">
        <v>91875</v>
      </c>
      <c r="Q9" s="100" t="inlineStr">
        <is>
          <t>Active</t>
        </is>
      </c>
      <c r="R9" s="100" t="n">
        <v>0</v>
      </c>
      <c r="U9" s="16">
        <f>IF(ISNUMBER(J9),IF(YEAR(J9)=YEAR(ValidationDate),"Q"&amp;ROUNDUP(MONTH(J9)/3,0),YEAR(J9)&amp;" Q"&amp;ROUNDUP(MONTH(J9)/3,0)),IFERROR("Q"&amp;ROUNDUP(MATCH(UPPER(TRIM(J9)),{"JAN","FEB","MAR","APR","MAY","JUN","JUL","AUG","SEP","OCT","NOV","DEC"},0)/3,0),""))</f>
        <v/>
      </c>
      <c r="V9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10">
      <c r="A10" s="16" t="n">
        <v>62</v>
      </c>
      <c r="B10" s="16" t="inlineStr">
        <is>
          <t>الاتصال الحكومي وشؤون الأمانة العامة</t>
        </is>
      </c>
      <c r="C10" s="16" t="inlineStr">
        <is>
          <t>الاتصال الحكومي</t>
        </is>
      </c>
      <c r="D10" t="inlineStr">
        <is>
          <t>مشروع استراتيجي توضيحي 009</t>
        </is>
      </c>
      <c r="F10" s="16" t="inlineStr">
        <is>
          <t>M</t>
        </is>
      </c>
      <c r="G10" s="16" t="inlineStr">
        <is>
          <t>Operational</t>
        </is>
      </c>
      <c r="H10" t="inlineStr">
        <is>
          <t>مدير توضيحي 1</t>
        </is>
      </c>
      <c r="I10" s="17" t="inlineStr">
        <is>
          <t>Jan</t>
        </is>
      </c>
      <c r="J10" s="17" t="inlineStr">
        <is>
          <t>Dec</t>
        </is>
      </c>
      <c r="K10" s="18" t="n">
        <v>247500</v>
      </c>
      <c r="L10" s="18" t="n">
        <v>275000</v>
      </c>
      <c r="M10" s="18" t="n">
        <v>220000</v>
      </c>
      <c r="N10" s="18" t="n">
        <v>55000</v>
      </c>
      <c r="O10" s="18" t="n">
        <v>137500</v>
      </c>
      <c r="P10" s="18" t="n">
        <v>96250</v>
      </c>
      <c r="Q10" s="100" t="inlineStr">
        <is>
          <t>Active</t>
        </is>
      </c>
      <c r="R10" s="100" t="n">
        <v>0.5</v>
      </c>
      <c r="U10" s="16">
        <f>IF(ISNUMBER(J10),IF(YEAR(J10)=YEAR(ValidationDate),"Q"&amp;ROUNDUP(MONTH(J10)/3,0),YEAR(J10)&amp;" Q"&amp;ROUNDUP(MONTH(J10)/3,0)),IFERROR("Q"&amp;ROUNDUP(MATCH(UPPER(TRIM(J10)),{"JAN","FEB","MAR","APR","MAY","JUN","JUL","AUG","SEP","OCT","NOV","DEC"},0)/3,0),""))</f>
        <v/>
      </c>
      <c r="V10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11">
      <c r="A11" s="16" t="n">
        <v>63</v>
      </c>
      <c r="B11" s="16" t="inlineStr">
        <is>
          <t>الاتصال الحكومي وشؤون الأمانة العامة</t>
        </is>
      </c>
      <c r="C11" s="16" t="inlineStr">
        <is>
          <t>الاتصال الحكومي</t>
        </is>
      </c>
      <c r="D11" t="inlineStr">
        <is>
          <t>مشروع استراتيجي توضيحي 010</t>
        </is>
      </c>
      <c r="F11" s="16" t="inlineStr">
        <is>
          <t>M</t>
        </is>
      </c>
      <c r="G11" s="16" t="inlineStr">
        <is>
          <t>Operational</t>
        </is>
      </c>
      <c r="H11" t="inlineStr">
        <is>
          <t>مدير توضيحي 2</t>
        </is>
      </c>
      <c r="I11" s="17" t="inlineStr">
        <is>
          <t>Jan</t>
        </is>
      </c>
      <c r="J11" s="17" t="inlineStr">
        <is>
          <t>Dec</t>
        </is>
      </c>
      <c r="K11" s="18" t="n">
        <v>258750</v>
      </c>
      <c r="L11" s="18" t="n">
        <v>287500</v>
      </c>
      <c r="M11" s="18" t="n">
        <v>230000</v>
      </c>
      <c r="N11" s="18" t="n">
        <v>57500</v>
      </c>
      <c r="O11" s="18" t="n">
        <v>0</v>
      </c>
      <c r="P11" s="18" t="n">
        <v>100625</v>
      </c>
      <c r="Q11" s="100" t="inlineStr">
        <is>
          <t>Active</t>
        </is>
      </c>
      <c r="R11" s="100" t="n">
        <v>0</v>
      </c>
      <c r="U11" s="16">
        <f>IF(ISNUMBER(J11),IF(YEAR(J11)=YEAR(ValidationDate),"Q"&amp;ROUNDUP(MONTH(J11)/3,0),YEAR(J11)&amp;" Q"&amp;ROUNDUP(MONTH(J11)/3,0)),IFERROR("Q"&amp;ROUNDUP(MATCH(UPPER(TRIM(J11)),{"JAN","FEB","MAR","APR","MAY","JUN","JUL","AUG","SEP","OCT","NOV","DEC"},0)/3,0),""))</f>
        <v/>
      </c>
      <c r="V11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12">
      <c r="A12" s="16" t="n">
        <v>51</v>
      </c>
      <c r="B12" s="16" t="inlineStr">
        <is>
          <t>الاتصال الحكومي وشؤون الأمانة العامة</t>
        </is>
      </c>
      <c r="C12" s="16" t="inlineStr">
        <is>
          <t>الخدمات المؤسسية</t>
        </is>
      </c>
      <c r="D12" t="inlineStr">
        <is>
          <t>مشروع استراتيجي توضيحي 011</t>
        </is>
      </c>
      <c r="F12" s="16" t="inlineStr">
        <is>
          <t>H</t>
        </is>
      </c>
      <c r="G12" s="16" t="inlineStr">
        <is>
          <t>Strategic</t>
        </is>
      </c>
      <c r="H12" t="inlineStr">
        <is>
          <t>مدير توضيحي 3</t>
        </is>
      </c>
      <c r="I12" s="17" t="inlineStr">
        <is>
          <t>Jan</t>
        </is>
      </c>
      <c r="J12" s="17" t="inlineStr">
        <is>
          <t>Dec</t>
        </is>
      </c>
      <c r="K12" s="18" t="n">
        <v>270000</v>
      </c>
      <c r="L12" s="18" t="n">
        <v>300000</v>
      </c>
      <c r="M12" s="18" t="n">
        <v>240000</v>
      </c>
      <c r="N12" s="18" t="n">
        <v>60000</v>
      </c>
      <c r="O12" s="18" t="n">
        <v>270000</v>
      </c>
      <c r="P12" s="18" t="n">
        <v>105000</v>
      </c>
      <c r="Q12" s="100" t="inlineStr">
        <is>
          <t>Active</t>
        </is>
      </c>
      <c r="R12" s="100" t="n">
        <v>0.9</v>
      </c>
      <c r="U12" s="16">
        <f>IF(ISNUMBER(J12),IF(YEAR(J12)=YEAR(ValidationDate),"Q"&amp;ROUNDUP(MONTH(J12)/3,0),YEAR(J12)&amp;" Q"&amp;ROUNDUP(MONTH(J12)/3,0)),IFERROR("Q"&amp;ROUNDUP(MATCH(UPPER(TRIM(J12)),{"JAN","FEB","MAR","APR","MAY","JUN","JUL","AUG","SEP","OCT","NOV","DEC"},0)/3,0),""))</f>
        <v/>
      </c>
      <c r="V12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13">
      <c r="A13" s="16" t="n">
        <v>64</v>
      </c>
      <c r="B13" s="16" t="inlineStr">
        <is>
          <t>الاتصال الحكومي وشؤون الأمانة العامة</t>
        </is>
      </c>
      <c r="C13" s="16" t="inlineStr">
        <is>
          <t>المشتريات والشؤون الإدارية</t>
        </is>
      </c>
      <c r="D13" t="inlineStr">
        <is>
          <t>مشروع استراتيجي توضيحي 012</t>
        </is>
      </c>
      <c r="F13" s="16" t="inlineStr">
        <is>
          <t>H</t>
        </is>
      </c>
      <c r="G13" s="16" t="inlineStr">
        <is>
          <t>Strategic</t>
        </is>
      </c>
      <c r="H13" t="inlineStr">
        <is>
          <t>مدير توضيحي 1</t>
        </is>
      </c>
      <c r="I13" s="17" t="inlineStr">
        <is>
          <t>Jan</t>
        </is>
      </c>
      <c r="J13" s="17" t="inlineStr">
        <is>
          <t>Dec</t>
        </is>
      </c>
      <c r="K13" s="18" t="n">
        <v>281250</v>
      </c>
      <c r="L13" s="18" t="n">
        <v>312500</v>
      </c>
      <c r="M13" s="18" t="n">
        <v>250000</v>
      </c>
      <c r="N13" s="18" t="n">
        <v>62500</v>
      </c>
      <c r="O13" s="18" t="n">
        <v>312500</v>
      </c>
      <c r="P13" s="18" t="n">
        <v>109375</v>
      </c>
      <c r="Q13" s="100" t="inlineStr">
        <is>
          <t>Completed</t>
        </is>
      </c>
      <c r="R13" s="100" t="n">
        <v>1</v>
      </c>
      <c r="S13" t="inlineStr">
        <is>
          <t>ملاحظة توضيحية: يتطلب البند مراجعة المستجدات وتأكيد الخطوة المقبلة مع الوحدة المعنية.</t>
        </is>
      </c>
      <c r="U13" s="16">
        <f>IF(ISNUMBER(J13),IF(YEAR(J13)=YEAR(ValidationDate),"Q"&amp;ROUNDUP(MONTH(J13)/3,0),YEAR(J13)&amp;" Q"&amp;ROUNDUP(MONTH(J13)/3,0)),IFERROR("Q"&amp;ROUNDUP(MATCH(UPPER(TRIM(J13)),{"JAN","FEB","MAR","APR","MAY","JUN","JUL","AUG","SEP","OCT","NOV","DEC"},0)/3,0),""))</f>
        <v/>
      </c>
      <c r="V13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14">
      <c r="A14" s="16" t="n">
        <v>65</v>
      </c>
      <c r="B14" s="16" t="inlineStr">
        <is>
          <t>الاتصال الحكومي وشؤون الأمانة العامة</t>
        </is>
      </c>
      <c r="C14" s="16" t="inlineStr">
        <is>
          <t>المشتريات والشؤون الإدارية</t>
        </is>
      </c>
      <c r="D14" t="inlineStr">
        <is>
          <t>مشروع استراتيجي توضيحي 013</t>
        </is>
      </c>
      <c r="F14" s="16" t="inlineStr">
        <is>
          <t>H</t>
        </is>
      </c>
      <c r="G14" s="16" t="inlineStr">
        <is>
          <t>Strategic</t>
        </is>
      </c>
      <c r="H14" t="inlineStr">
        <is>
          <t>مدير توضيحي 2</t>
        </is>
      </c>
      <c r="I14" s="17" t="inlineStr">
        <is>
          <t>Jan</t>
        </is>
      </c>
      <c r="J14" s="17" t="inlineStr">
        <is>
          <t>Dec</t>
        </is>
      </c>
      <c r="K14" s="18" t="n">
        <v>292500</v>
      </c>
      <c r="L14" s="18" t="n">
        <v>325000</v>
      </c>
      <c r="M14" s="18" t="n">
        <v>260000</v>
      </c>
      <c r="N14" s="18" t="n">
        <v>65000</v>
      </c>
      <c r="O14" s="18" t="n">
        <v>0</v>
      </c>
      <c r="P14" s="18" t="n">
        <v>113750</v>
      </c>
      <c r="Q14" s="100" t="inlineStr">
        <is>
          <t>Not Started</t>
        </is>
      </c>
      <c r="R14" s="100" t="n">
        <v>0</v>
      </c>
      <c r="U14" s="16">
        <f>IF(ISNUMBER(J14),IF(YEAR(J14)=YEAR(ValidationDate),"Q"&amp;ROUNDUP(MONTH(J14)/3,0),YEAR(J14)&amp;" Q"&amp;ROUNDUP(MONTH(J14)/3,0)),IFERROR("Q"&amp;ROUNDUP(MATCH(UPPER(TRIM(J14)),{"JAN","FEB","MAR","APR","MAY","JUN","JUL","AUG","SEP","OCT","NOV","DEC"},0)/3,0),""))</f>
        <v/>
      </c>
      <c r="V14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15">
      <c r="A15" s="16" t="n">
        <v>66</v>
      </c>
      <c r="B15" s="16" t="inlineStr">
        <is>
          <t>الاتصال الحكومي وشؤون الأمانة العامة</t>
        </is>
      </c>
      <c r="C15" s="16" t="inlineStr">
        <is>
          <t>تقنية المعلومات</t>
        </is>
      </c>
      <c r="D15" t="inlineStr">
        <is>
          <t>مشروع استراتيجي توضيحي 014</t>
        </is>
      </c>
      <c r="F15" s="16" t="inlineStr">
        <is>
          <t>H</t>
        </is>
      </c>
      <c r="G15" s="16" t="inlineStr">
        <is>
          <t>Strategic</t>
        </is>
      </c>
      <c r="H15" t="inlineStr">
        <is>
          <t>مدير توضيحي 3</t>
        </is>
      </c>
      <c r="I15" s="17" t="inlineStr">
        <is>
          <t>Jan</t>
        </is>
      </c>
      <c r="J15" s="17" t="inlineStr">
        <is>
          <t>Dec</t>
        </is>
      </c>
      <c r="K15" s="18" t="n">
        <v>303750</v>
      </c>
      <c r="L15" s="18" t="n">
        <v>337500</v>
      </c>
      <c r="M15" s="18" t="n">
        <v>270000</v>
      </c>
      <c r="N15" s="18" t="n">
        <v>67500</v>
      </c>
      <c r="O15" s="18" t="n">
        <v>0</v>
      </c>
      <c r="P15" s="18" t="n">
        <v>118125</v>
      </c>
      <c r="Q15" s="100" t="inlineStr">
        <is>
          <t>Active</t>
        </is>
      </c>
      <c r="R15" s="100" t="n">
        <v>0</v>
      </c>
      <c r="U15" s="16">
        <f>IF(ISNUMBER(J15),IF(YEAR(J15)=YEAR(ValidationDate),"Q"&amp;ROUNDUP(MONTH(J15)/3,0),YEAR(J15)&amp;" Q"&amp;ROUNDUP(MONTH(J15)/3,0)),IFERROR("Q"&amp;ROUNDUP(MATCH(UPPER(TRIM(J15)),{"JAN","FEB","MAR","APR","MAY","JUN","JUL","AUG","SEP","OCT","NOV","DEC"},0)/3,0),""))</f>
        <v/>
      </c>
      <c r="V15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16">
      <c r="A16" s="16" t="n">
        <v>67</v>
      </c>
      <c r="B16" s="16" t="inlineStr">
        <is>
          <t>الاتصال الحكومي وشؤون الأمانة العامة</t>
        </is>
      </c>
      <c r="C16" s="16" t="inlineStr">
        <is>
          <t>تقنية المعلومات</t>
        </is>
      </c>
      <c r="D16" t="inlineStr">
        <is>
          <t>مشروع استراتيجي توضيحي 015</t>
        </is>
      </c>
      <c r="F16" s="16" t="inlineStr">
        <is>
          <t>H</t>
        </is>
      </c>
      <c r="G16" s="16" t="inlineStr">
        <is>
          <t>Strategic</t>
        </is>
      </c>
      <c r="H16" t="inlineStr">
        <is>
          <t>مدير توضيحي 1</t>
        </is>
      </c>
      <c r="I16" s="17" t="inlineStr">
        <is>
          <t>Jan</t>
        </is>
      </c>
      <c r="J16" s="17" t="inlineStr">
        <is>
          <t>Dec</t>
        </is>
      </c>
      <c r="K16" s="18" t="n">
        <v>315000</v>
      </c>
      <c r="L16" s="18" t="n">
        <v>350000</v>
      </c>
      <c r="M16" s="18" t="n">
        <v>280000</v>
      </c>
      <c r="N16" s="18" t="n">
        <v>70000</v>
      </c>
      <c r="O16" s="18" t="n">
        <v>0</v>
      </c>
      <c r="P16" s="18" t="n">
        <v>122500</v>
      </c>
      <c r="Q16" s="100" t="inlineStr">
        <is>
          <t>Not Started</t>
        </is>
      </c>
      <c r="R16" s="100" t="n">
        <v>0</v>
      </c>
      <c r="U16" s="16">
        <f>IF(ISNUMBER(J16),IF(YEAR(J16)=YEAR(ValidationDate),"Q"&amp;ROUNDUP(MONTH(J16)/3,0),YEAR(J16)&amp;" Q"&amp;ROUNDUP(MONTH(J16)/3,0)),IFERROR("Q"&amp;ROUNDUP(MATCH(UPPER(TRIM(J16)),{"JAN","FEB","MAR","APR","MAY","JUN","JUL","AUG","SEP","OCT","NOV","DEC"},0)/3,0),""))</f>
        <v/>
      </c>
      <c r="V16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17">
      <c r="A17" s="16" t="n">
        <v>68</v>
      </c>
      <c r="B17" s="16" t="inlineStr">
        <is>
          <t>الاتصال الحكومي وشؤون الأمانة العامة</t>
        </is>
      </c>
      <c r="C17" s="16" t="inlineStr">
        <is>
          <t>تقنية المعلومات</t>
        </is>
      </c>
      <c r="D17" t="inlineStr">
        <is>
          <t>مشروع استراتيجي توضيحي 016</t>
        </is>
      </c>
      <c r="F17" s="16" t="inlineStr">
        <is>
          <t>H</t>
        </is>
      </c>
      <c r="G17" s="16" t="inlineStr">
        <is>
          <t>Strategic</t>
        </is>
      </c>
      <c r="H17" t="inlineStr">
        <is>
          <t>مدير توضيحي 2</t>
        </is>
      </c>
      <c r="I17" s="17" t="inlineStr">
        <is>
          <t>Jan</t>
        </is>
      </c>
      <c r="J17" s="17" t="inlineStr">
        <is>
          <t>Dec</t>
        </is>
      </c>
      <c r="K17" s="18" t="n">
        <v>326250</v>
      </c>
      <c r="L17" s="18" t="n">
        <v>362500</v>
      </c>
      <c r="M17" s="18" t="n">
        <v>290000</v>
      </c>
      <c r="N17" s="18" t="n">
        <v>72500</v>
      </c>
      <c r="O17" s="18" t="n">
        <v>0</v>
      </c>
      <c r="P17" s="18" t="n">
        <v>126875</v>
      </c>
      <c r="Q17" s="100" t="inlineStr">
        <is>
          <t>Active</t>
        </is>
      </c>
      <c r="R17" s="100" t="n">
        <v>0</v>
      </c>
      <c r="U17" s="16">
        <f>IF(ISNUMBER(J17),IF(YEAR(J17)=YEAR(ValidationDate),"Q"&amp;ROUNDUP(MONTH(J17)/3,0),YEAR(J17)&amp;" Q"&amp;ROUNDUP(MONTH(J17)/3,0)),IFERROR("Q"&amp;ROUNDUP(MATCH(UPPER(TRIM(J17)),{"JAN","FEB","MAR","APR","MAY","JUN","JUL","AUG","SEP","OCT","NOV","DEC"},0)/3,0),""))</f>
        <v/>
      </c>
      <c r="V17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18">
      <c r="A18" s="16" t="n">
        <v>69</v>
      </c>
      <c r="B18" s="16" t="inlineStr">
        <is>
          <t>الاتصال الحكومي وشؤون الأمانة العامة</t>
        </is>
      </c>
      <c r="C18" s="16" t="inlineStr">
        <is>
          <t>تقنية المعلومات</t>
        </is>
      </c>
      <c r="D18" t="inlineStr">
        <is>
          <t>مشروع استراتيجي توضيحي 017</t>
        </is>
      </c>
      <c r="F18" s="16" t="inlineStr">
        <is>
          <t>H</t>
        </is>
      </c>
      <c r="G18" s="16" t="inlineStr">
        <is>
          <t>Strategic</t>
        </is>
      </c>
      <c r="H18" t="inlineStr">
        <is>
          <t>مدير توضيحي 3</t>
        </is>
      </c>
      <c r="I18" s="17" t="inlineStr">
        <is>
          <t>Jan</t>
        </is>
      </c>
      <c r="J18" s="17" t="inlineStr">
        <is>
          <t>Dec</t>
        </is>
      </c>
      <c r="K18" s="18" t="n">
        <v>337500</v>
      </c>
      <c r="L18" s="18" t="n">
        <v>375000</v>
      </c>
      <c r="M18" s="18" t="n">
        <v>300000</v>
      </c>
      <c r="N18" s="18" t="n">
        <v>75000</v>
      </c>
      <c r="O18" s="18" t="n">
        <v>0</v>
      </c>
      <c r="P18" s="18" t="n">
        <v>131250</v>
      </c>
      <c r="Q18" s="100" t="inlineStr">
        <is>
          <t>Not Started</t>
        </is>
      </c>
      <c r="R18" s="100" t="n">
        <v>0</v>
      </c>
      <c r="U18" s="16">
        <f>IF(ISNUMBER(J18),IF(YEAR(J18)=YEAR(ValidationDate),"Q"&amp;ROUNDUP(MONTH(J18)/3,0),YEAR(J18)&amp;" Q"&amp;ROUNDUP(MONTH(J18)/3,0)),IFERROR("Q"&amp;ROUNDUP(MATCH(UPPER(TRIM(J18)),{"JAN","FEB","MAR","APR","MAY","JUN","JUL","AUG","SEP","OCT","NOV","DEC"},0)/3,0),""))</f>
        <v/>
      </c>
      <c r="V18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19">
      <c r="A19" s="16" t="n">
        <v>70</v>
      </c>
      <c r="B19" s="16" t="inlineStr">
        <is>
          <t>الاتصال الحكومي وشؤون الأمانة العامة</t>
        </is>
      </c>
      <c r="C19" s="16" t="inlineStr">
        <is>
          <t>تقنية المعلومات</t>
        </is>
      </c>
      <c r="D19" t="inlineStr">
        <is>
          <t>مشروع استراتيجي توضيحي 018</t>
        </is>
      </c>
      <c r="F19" s="16" t="inlineStr">
        <is>
          <t>H</t>
        </is>
      </c>
      <c r="G19" s="16" t="inlineStr">
        <is>
          <t>Strategic</t>
        </is>
      </c>
      <c r="H19" t="inlineStr">
        <is>
          <t>مدير توضيحي 1</t>
        </is>
      </c>
      <c r="I19" s="17" t="inlineStr">
        <is>
          <t>Jan</t>
        </is>
      </c>
      <c r="J19" s="17" t="inlineStr">
        <is>
          <t>Dec</t>
        </is>
      </c>
      <c r="K19" s="18" t="n">
        <v>348750</v>
      </c>
      <c r="L19" s="18" t="n">
        <v>387500</v>
      </c>
      <c r="M19" s="18" t="n">
        <v>310000</v>
      </c>
      <c r="N19" s="18" t="n">
        <v>77500</v>
      </c>
      <c r="O19" s="18" t="n">
        <v>0</v>
      </c>
      <c r="P19" s="18" t="n">
        <v>135625</v>
      </c>
      <c r="Q19" s="100" t="inlineStr">
        <is>
          <t>Active</t>
        </is>
      </c>
      <c r="R19" s="100" t="n">
        <v>0</v>
      </c>
      <c r="U19" s="16">
        <f>IF(ISNUMBER(J19),IF(YEAR(J19)=YEAR(ValidationDate),"Q"&amp;ROUNDUP(MONTH(J19)/3,0),YEAR(J19)&amp;" Q"&amp;ROUNDUP(MONTH(J19)/3,0)),IFERROR("Q"&amp;ROUNDUP(MATCH(UPPER(TRIM(J19)),{"JAN","FEB","MAR","APR","MAY","JUN","JUL","AUG","SEP","OCT","NOV","DEC"},0)/3,0),""))</f>
        <v/>
      </c>
      <c r="V19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20">
      <c r="A20" s="16" t="n">
        <v>71</v>
      </c>
      <c r="B20" s="16" t="inlineStr">
        <is>
          <t>الاتصال الحكومي وشؤون الأمانة العامة</t>
        </is>
      </c>
      <c r="C20" s="16" t="inlineStr">
        <is>
          <t>تقنية المعلومات</t>
        </is>
      </c>
      <c r="D20" t="inlineStr">
        <is>
          <t>مشروع استراتيجي توضيحي 019</t>
        </is>
      </c>
      <c r="F20" s="16" t="inlineStr">
        <is>
          <t>H</t>
        </is>
      </c>
      <c r="G20" s="16" t="inlineStr">
        <is>
          <t>Operational</t>
        </is>
      </c>
      <c r="H20" t="inlineStr">
        <is>
          <t>مدير توضيحي 2</t>
        </is>
      </c>
      <c r="I20" s="17" t="inlineStr">
        <is>
          <t>Jan</t>
        </is>
      </c>
      <c r="J20" s="17" t="inlineStr">
        <is>
          <t>Dec</t>
        </is>
      </c>
      <c r="K20" s="18" t="n">
        <v>360000</v>
      </c>
      <c r="L20" s="18" t="n">
        <v>400000</v>
      </c>
      <c r="M20" s="18" t="n">
        <v>320000</v>
      </c>
      <c r="N20" s="18" t="n">
        <v>80000</v>
      </c>
      <c r="O20" s="18" t="n">
        <v>160000</v>
      </c>
      <c r="P20" s="18" t="n">
        <v>140000</v>
      </c>
      <c r="Q20" s="100" t="inlineStr">
        <is>
          <t>Active</t>
        </is>
      </c>
      <c r="R20" s="100" t="n">
        <v>0.4</v>
      </c>
      <c r="U20" s="16">
        <f>IF(ISNUMBER(J20),IF(YEAR(J20)=YEAR(ValidationDate),"Q"&amp;ROUNDUP(MONTH(J20)/3,0),YEAR(J20)&amp;" Q"&amp;ROUNDUP(MONTH(J20)/3,0)),IFERROR("Q"&amp;ROUNDUP(MATCH(UPPER(TRIM(J20)),{"JAN","FEB","MAR","APR","MAY","JUN","JUL","AUG","SEP","OCT","NOV","DEC"},0)/3,0),""))</f>
        <v/>
      </c>
      <c r="V20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21">
      <c r="A21" s="16" t="n">
        <v>72</v>
      </c>
      <c r="B21" s="16" t="inlineStr">
        <is>
          <t>الاتصال الحكومي وشؤون الأمانة العامة</t>
        </is>
      </c>
      <c r="C21" s="16" t="inlineStr">
        <is>
          <t>تقنية المعلومات</t>
        </is>
      </c>
      <c r="D21" t="inlineStr">
        <is>
          <t>مشروع استراتيجي توضيحي 020</t>
        </is>
      </c>
      <c r="F21" s="16" t="inlineStr">
        <is>
          <t>H</t>
        </is>
      </c>
      <c r="G21" s="16" t="inlineStr">
        <is>
          <t>Strategic</t>
        </is>
      </c>
      <c r="H21" t="inlineStr">
        <is>
          <t>مدير توضيحي 3</t>
        </is>
      </c>
      <c r="I21" s="17" t="inlineStr">
        <is>
          <t>Jan</t>
        </is>
      </c>
      <c r="J21" s="17" t="inlineStr">
        <is>
          <t>Dec</t>
        </is>
      </c>
      <c r="K21" s="18" t="n">
        <v>371250</v>
      </c>
      <c r="L21" s="18" t="n">
        <v>412500</v>
      </c>
      <c r="M21" s="18" t="n">
        <v>330000</v>
      </c>
      <c r="N21" s="18" t="n">
        <v>82500</v>
      </c>
      <c r="O21" s="18" t="n">
        <v>412500</v>
      </c>
      <c r="P21" s="18" t="n">
        <v>144375</v>
      </c>
      <c r="Q21" s="100" t="inlineStr">
        <is>
          <t>Completed</t>
        </is>
      </c>
      <c r="R21" s="100" t="n">
        <v>1</v>
      </c>
      <c r="U21" s="16">
        <f>IF(ISNUMBER(J21),IF(YEAR(J21)=YEAR(ValidationDate),"Q"&amp;ROUNDUP(MONTH(J21)/3,0),YEAR(J21)&amp;" Q"&amp;ROUNDUP(MONTH(J21)/3,0)),IFERROR("Q"&amp;ROUNDUP(MATCH(UPPER(TRIM(J21)),{"JAN","FEB","MAR","APR","MAY","JUN","JUL","AUG","SEP","OCT","NOV","DEC"},0)/3,0),""))</f>
        <v/>
      </c>
      <c r="V21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22">
      <c r="A22" s="16" t="n">
        <v>73</v>
      </c>
      <c r="B22" s="16" t="inlineStr">
        <is>
          <t>الاتصال الحكومي وشؤون الأمانة العامة</t>
        </is>
      </c>
      <c r="C22" s="16" t="inlineStr">
        <is>
          <t>تقنية المعلومات</t>
        </is>
      </c>
      <c r="D22" t="inlineStr">
        <is>
          <t>مشروع استراتيجي توضيحي 021</t>
        </is>
      </c>
      <c r="F22" s="16" t="inlineStr">
        <is>
          <t>H</t>
        </is>
      </c>
      <c r="G22" s="16" t="inlineStr">
        <is>
          <t>Strategic</t>
        </is>
      </c>
      <c r="H22" t="inlineStr">
        <is>
          <t>مدير توضيحي 1</t>
        </is>
      </c>
      <c r="I22" s="17" t="inlineStr">
        <is>
          <t>Jan</t>
        </is>
      </c>
      <c r="J22" s="17" t="inlineStr">
        <is>
          <t>Dec</t>
        </is>
      </c>
      <c r="K22" s="18" t="n">
        <v>382500</v>
      </c>
      <c r="L22" s="18" t="n">
        <v>425000</v>
      </c>
      <c r="M22" s="18" t="n">
        <v>340000</v>
      </c>
      <c r="N22" s="18" t="n">
        <v>85000</v>
      </c>
      <c r="O22" s="18" t="n">
        <v>0</v>
      </c>
      <c r="P22" s="18" t="n">
        <v>148750</v>
      </c>
      <c r="Q22" s="100" t="inlineStr">
        <is>
          <t>Active</t>
        </is>
      </c>
      <c r="R22" s="100" t="n">
        <v>0</v>
      </c>
      <c r="U22" s="16">
        <f>IF(ISNUMBER(J22),IF(YEAR(J22)=YEAR(ValidationDate),"Q"&amp;ROUNDUP(MONTH(J22)/3,0),YEAR(J22)&amp;" Q"&amp;ROUNDUP(MONTH(J22)/3,0)),IFERROR("Q"&amp;ROUNDUP(MATCH(UPPER(TRIM(J22)),{"JAN","FEB","MAR","APR","MAY","JUN","JUL","AUG","SEP","OCT","NOV","DEC"},0)/3,0),""))</f>
        <v/>
      </c>
      <c r="V22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23">
      <c r="A23" s="16" t="n">
        <v>74</v>
      </c>
      <c r="B23" s="16" t="inlineStr">
        <is>
          <t>الاتصال الحكومي وشؤون الأمانة العامة</t>
        </is>
      </c>
      <c r="C23" s="16" t="inlineStr">
        <is>
          <t>تقنية المعلومات</t>
        </is>
      </c>
      <c r="D23" t="inlineStr">
        <is>
          <t>مشروع استراتيجي توضيحي 022</t>
        </is>
      </c>
      <c r="F23" s="16" t="inlineStr">
        <is>
          <t>M</t>
        </is>
      </c>
      <c r="G23" s="16" t="inlineStr">
        <is>
          <t>Strategic</t>
        </is>
      </c>
      <c r="H23" t="inlineStr">
        <is>
          <t>مدير توضيحي 2</t>
        </is>
      </c>
      <c r="I23" s="17" t="inlineStr">
        <is>
          <t>Jan</t>
        </is>
      </c>
      <c r="J23" s="17" t="inlineStr">
        <is>
          <t>Dec</t>
        </is>
      </c>
      <c r="K23" s="18" t="n">
        <v>393750</v>
      </c>
      <c r="L23" s="18" t="n">
        <v>437500</v>
      </c>
      <c r="M23" s="18" t="n">
        <v>350000</v>
      </c>
      <c r="N23" s="18" t="n">
        <v>87500</v>
      </c>
      <c r="O23" s="18" t="n">
        <v>0</v>
      </c>
      <c r="P23" s="18" t="n">
        <v>153125</v>
      </c>
      <c r="Q23" s="100" t="inlineStr">
        <is>
          <t>Active</t>
        </is>
      </c>
      <c r="R23" s="100" t="n">
        <v>0</v>
      </c>
      <c r="U23" s="16">
        <f>IF(ISNUMBER(J23),IF(YEAR(J23)=YEAR(ValidationDate),"Q"&amp;ROUNDUP(MONTH(J23)/3,0),YEAR(J23)&amp;" Q"&amp;ROUNDUP(MONTH(J23)/3,0)),IFERROR("Q"&amp;ROUNDUP(MATCH(UPPER(TRIM(J23)),{"JAN","FEB","MAR","APR","MAY","JUN","JUL","AUG","SEP","OCT","NOV","DEC"},0)/3,0),""))</f>
        <v/>
      </c>
      <c r="V23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24">
      <c r="A24" s="16" t="n">
        <v>75</v>
      </c>
      <c r="B24" s="16" t="inlineStr">
        <is>
          <t>الاتصال الحكومي وشؤون الأمانة العامة</t>
        </is>
      </c>
      <c r="C24" s="16" t="inlineStr">
        <is>
          <t>تقنية المعلومات</t>
        </is>
      </c>
      <c r="D24" t="inlineStr">
        <is>
          <t>مشروع استراتيجي توضيحي 023</t>
        </is>
      </c>
      <c r="F24" s="16" t="inlineStr">
        <is>
          <t>H</t>
        </is>
      </c>
      <c r="G24" s="16" t="inlineStr">
        <is>
          <t>Operational</t>
        </is>
      </c>
      <c r="H24" t="inlineStr">
        <is>
          <t>مدير توضيحي 3</t>
        </is>
      </c>
      <c r="I24" s="17" t="inlineStr">
        <is>
          <t>Jan</t>
        </is>
      </c>
      <c r="J24" s="17" t="inlineStr">
        <is>
          <t>Dec</t>
        </is>
      </c>
      <c r="K24" s="18" t="n">
        <v>405000</v>
      </c>
      <c r="L24" s="18" t="n">
        <v>450000</v>
      </c>
      <c r="M24" s="18" t="n">
        <v>360000</v>
      </c>
      <c r="N24" s="18" t="n">
        <v>90000</v>
      </c>
      <c r="O24" s="18" t="n">
        <v>0</v>
      </c>
      <c r="P24" s="18" t="n">
        <v>157500</v>
      </c>
      <c r="Q24" s="100" t="inlineStr">
        <is>
          <t>Active</t>
        </is>
      </c>
      <c r="R24" s="100" t="n">
        <v>0</v>
      </c>
      <c r="U24" s="16">
        <f>IF(ISNUMBER(J24),IF(YEAR(J24)=YEAR(ValidationDate),"Q"&amp;ROUNDUP(MONTH(J24)/3,0),YEAR(J24)&amp;" Q"&amp;ROUNDUP(MONTH(J24)/3,0)),IFERROR("Q"&amp;ROUNDUP(MATCH(UPPER(TRIM(J24)),{"JAN","FEB","MAR","APR","MAY","JUN","JUL","AUG","SEP","OCT","NOV","DEC"},0)/3,0),""))</f>
        <v/>
      </c>
      <c r="V24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25">
      <c r="A25" s="16" t="n">
        <v>76</v>
      </c>
      <c r="B25" s="16" t="inlineStr">
        <is>
          <t>الاتصال الحكومي وشؤون الأمانة العامة</t>
        </is>
      </c>
      <c r="C25" s="16" t="inlineStr">
        <is>
          <t>تقنية المعلومات</t>
        </is>
      </c>
      <c r="D25" t="inlineStr">
        <is>
          <t>مشروع استراتيجي توضيحي 024</t>
        </is>
      </c>
      <c r="F25" s="16" t="inlineStr">
        <is>
          <t>H</t>
        </is>
      </c>
      <c r="G25" s="16" t="inlineStr">
        <is>
          <t>Strategic</t>
        </is>
      </c>
      <c r="H25" t="inlineStr">
        <is>
          <t>مدير توضيحي 1</t>
        </is>
      </c>
      <c r="I25" s="17" t="inlineStr">
        <is>
          <t>Jan</t>
        </is>
      </c>
      <c r="J25" s="17" t="inlineStr">
        <is>
          <t>Dec</t>
        </is>
      </c>
      <c r="K25" s="18" t="n">
        <v>416250</v>
      </c>
      <c r="L25" s="18" t="n">
        <v>462500</v>
      </c>
      <c r="M25" s="18" t="n">
        <v>370000</v>
      </c>
      <c r="N25" s="18" t="n">
        <v>92500</v>
      </c>
      <c r="O25" s="18" t="n">
        <v>0</v>
      </c>
      <c r="P25" s="18" t="n">
        <v>161875</v>
      </c>
      <c r="Q25" s="100" t="inlineStr">
        <is>
          <t>Active</t>
        </is>
      </c>
      <c r="R25" s="100" t="n">
        <v>0</v>
      </c>
      <c r="U25" s="16">
        <f>IF(ISNUMBER(J25),IF(YEAR(J25)=YEAR(ValidationDate),"Q"&amp;ROUNDUP(MONTH(J25)/3,0),YEAR(J25)&amp;" Q"&amp;ROUNDUP(MONTH(J25)/3,0)),IFERROR("Q"&amp;ROUNDUP(MATCH(UPPER(TRIM(J25)),{"JAN","FEB","MAR","APR","MAY","JUN","JUL","AUG","SEP","OCT","NOV","DEC"},0)/3,0),""))</f>
        <v/>
      </c>
      <c r="V25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26">
      <c r="A26" s="16" t="n">
        <v>77</v>
      </c>
      <c r="B26" s="16" t="inlineStr">
        <is>
          <t>الاتصال الحكومي وشؤون الأمانة العامة</t>
        </is>
      </c>
      <c r="C26" s="16" t="inlineStr">
        <is>
          <t>تميز الموارد البشرية</t>
        </is>
      </c>
      <c r="D26" t="inlineStr">
        <is>
          <t>مشروع استراتيجي توضيحي 025</t>
        </is>
      </c>
      <c r="F26" s="16" t="inlineStr">
        <is>
          <t>H</t>
        </is>
      </c>
      <c r="G26" s="16" t="inlineStr">
        <is>
          <t>Strategic</t>
        </is>
      </c>
      <c r="H26" t="inlineStr">
        <is>
          <t>مدير توضيحي 2</t>
        </is>
      </c>
      <c r="I26" s="17" t="inlineStr">
        <is>
          <t>Jan</t>
        </is>
      </c>
      <c r="J26" s="17" t="inlineStr">
        <is>
          <t>Dec</t>
        </is>
      </c>
      <c r="K26" s="18" t="n">
        <v>427500</v>
      </c>
      <c r="L26" s="18" t="n">
        <v>475000</v>
      </c>
      <c r="M26" s="18" t="n">
        <v>380000</v>
      </c>
      <c r="N26" s="18" t="n">
        <v>95000</v>
      </c>
      <c r="O26" s="18" t="n">
        <v>71250</v>
      </c>
      <c r="P26" s="18" t="n">
        <v>166250</v>
      </c>
      <c r="Q26" s="100" t="inlineStr">
        <is>
          <t>Active</t>
        </is>
      </c>
      <c r="R26" s="100" t="n">
        <v>0.15</v>
      </c>
      <c r="U26" s="16">
        <f>IF(ISNUMBER(J26),IF(YEAR(J26)=YEAR(ValidationDate),"Q"&amp;ROUNDUP(MONTH(J26)/3,0),YEAR(J26)&amp;" Q"&amp;ROUNDUP(MONTH(J26)/3,0)),IFERROR("Q"&amp;ROUNDUP(MATCH(UPPER(TRIM(J26)),{"JAN","FEB","MAR","APR","MAY","JUN","JUL","AUG","SEP","OCT","NOV","DEC"},0)/3,0),""))</f>
        <v/>
      </c>
      <c r="V26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27">
      <c r="A27" s="16" t="n">
        <v>78</v>
      </c>
      <c r="B27" s="16" t="inlineStr">
        <is>
          <t>الاتصال الحكومي وشؤون الأمانة العامة</t>
        </is>
      </c>
      <c r="C27" s="16" t="inlineStr">
        <is>
          <t>تميز الموارد البشرية</t>
        </is>
      </c>
      <c r="D27" t="inlineStr">
        <is>
          <t>مشروع استراتيجي توضيحي 026</t>
        </is>
      </c>
      <c r="F27" s="16" t="inlineStr">
        <is>
          <t>H</t>
        </is>
      </c>
      <c r="G27" s="16" t="inlineStr">
        <is>
          <t>Operational</t>
        </is>
      </c>
      <c r="H27" t="inlineStr">
        <is>
          <t>مدير توضيحي 3</t>
        </is>
      </c>
      <c r="I27" s="17" t="inlineStr">
        <is>
          <t>Jan</t>
        </is>
      </c>
      <c r="J27" s="17" t="inlineStr">
        <is>
          <t>Dec</t>
        </is>
      </c>
      <c r="K27" s="18" t="n">
        <v>438750</v>
      </c>
      <c r="L27" s="18" t="n">
        <v>487500</v>
      </c>
      <c r="M27" s="18" t="n">
        <v>390000</v>
      </c>
      <c r="N27" s="18" t="n">
        <v>97500</v>
      </c>
      <c r="O27" s="18" t="n">
        <v>0</v>
      </c>
      <c r="P27" s="18" t="n">
        <v>170625</v>
      </c>
      <c r="Q27" s="100" t="inlineStr">
        <is>
          <t>Not Started</t>
        </is>
      </c>
      <c r="R27" s="100" t="n">
        <v>0</v>
      </c>
      <c r="U27" s="16">
        <f>IF(ISNUMBER(J27),IF(YEAR(J27)=YEAR(ValidationDate),"Q"&amp;ROUNDUP(MONTH(J27)/3,0),YEAR(J27)&amp;" Q"&amp;ROUNDUP(MONTH(J27)/3,0)),IFERROR("Q"&amp;ROUNDUP(MATCH(UPPER(TRIM(J27)),{"JAN","FEB","MAR","APR","MAY","JUN","JUL","AUG","SEP","OCT","NOV","DEC"},0)/3,0),""))</f>
        <v/>
      </c>
      <c r="V27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28">
      <c r="A28" s="16" t="n">
        <v>79</v>
      </c>
      <c r="B28" s="16" t="inlineStr">
        <is>
          <t>الاتصال الحكومي وشؤون الأمانة العامة</t>
        </is>
      </c>
      <c r="C28" s="16" t="inlineStr">
        <is>
          <t>تميز الموارد البشرية</t>
        </is>
      </c>
      <c r="D28" t="inlineStr">
        <is>
          <t>مشروع استراتيجي توضيحي 027</t>
        </is>
      </c>
      <c r="F28" s="16" t="inlineStr">
        <is>
          <t>M</t>
        </is>
      </c>
      <c r="G28" s="16" t="inlineStr">
        <is>
          <t>Operational</t>
        </is>
      </c>
      <c r="H28" t="inlineStr">
        <is>
          <t>مدير توضيحي 1</t>
        </is>
      </c>
      <c r="I28" s="17" t="inlineStr">
        <is>
          <t>Jan</t>
        </is>
      </c>
      <c r="J28" s="17" t="inlineStr">
        <is>
          <t>Dec</t>
        </is>
      </c>
      <c r="K28" s="18" t="n">
        <v>450000</v>
      </c>
      <c r="L28" s="18" t="n">
        <v>500000</v>
      </c>
      <c r="M28" s="18" t="n">
        <v>400000</v>
      </c>
      <c r="N28" s="18" t="n">
        <v>100000</v>
      </c>
      <c r="O28" s="18" t="n">
        <v>200000</v>
      </c>
      <c r="P28" s="18" t="n">
        <v>175000</v>
      </c>
      <c r="Q28" s="100" t="inlineStr">
        <is>
          <t>Active</t>
        </is>
      </c>
      <c r="R28" s="100" t="n">
        <v>0.4</v>
      </c>
      <c r="U28" s="16">
        <f>IF(ISNUMBER(J28),IF(YEAR(J28)=YEAR(ValidationDate),"Q"&amp;ROUNDUP(MONTH(J28)/3,0),YEAR(J28)&amp;" Q"&amp;ROUNDUP(MONTH(J28)/3,0)),IFERROR("Q"&amp;ROUNDUP(MATCH(UPPER(TRIM(J28)),{"JAN","FEB","MAR","APR","MAY","JUN","JUL","AUG","SEP","OCT","NOV","DEC"},0)/3,0),""))</f>
        <v/>
      </c>
      <c r="V28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29">
      <c r="A29" s="16" t="n">
        <v>80</v>
      </c>
      <c r="B29" s="16" t="inlineStr">
        <is>
          <t>الاتصال الحكومي وشؤون الأمانة العامة</t>
        </is>
      </c>
      <c r="C29" s="16" t="inlineStr">
        <is>
          <t>تميز الموارد البشرية</t>
        </is>
      </c>
      <c r="D29" t="inlineStr">
        <is>
          <t>مشروع استراتيجي توضيحي 028</t>
        </is>
      </c>
      <c r="F29" s="16" t="inlineStr">
        <is>
          <t>H</t>
        </is>
      </c>
      <c r="G29" s="16" t="inlineStr">
        <is>
          <t>Operational</t>
        </is>
      </c>
      <c r="H29" t="inlineStr">
        <is>
          <t>مدير توضيحي 2</t>
        </is>
      </c>
      <c r="I29" s="17" t="inlineStr">
        <is>
          <t>Jan</t>
        </is>
      </c>
      <c r="J29" s="17" t="inlineStr">
        <is>
          <t>Dec</t>
        </is>
      </c>
      <c r="K29" s="18" t="n">
        <v>461250</v>
      </c>
      <c r="L29" s="18" t="n">
        <v>512500</v>
      </c>
      <c r="M29" s="18" t="n">
        <v>410000</v>
      </c>
      <c r="N29" s="18" t="n">
        <v>102500</v>
      </c>
      <c r="O29" s="18" t="n">
        <v>205000</v>
      </c>
      <c r="P29" s="18" t="n">
        <v>179375</v>
      </c>
      <c r="Q29" s="100" t="inlineStr">
        <is>
          <t>Active</t>
        </is>
      </c>
      <c r="R29" s="100" t="n">
        <v>0.4</v>
      </c>
      <c r="U29" s="16">
        <f>IF(ISNUMBER(J29),IF(YEAR(J29)=YEAR(ValidationDate),"Q"&amp;ROUNDUP(MONTH(J29)/3,0),YEAR(J29)&amp;" Q"&amp;ROUNDUP(MONTH(J29)/3,0)),IFERROR("Q"&amp;ROUNDUP(MATCH(UPPER(TRIM(J29)),{"JAN","FEB","MAR","APR","MAY","JUN","JUL","AUG","SEP","OCT","NOV","DEC"},0)/3,0),""))</f>
        <v/>
      </c>
      <c r="V29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30">
      <c r="A30" s="16" t="n">
        <v>81</v>
      </c>
      <c r="B30" s="16" t="inlineStr">
        <is>
          <t>الاتصال الحكومي وشؤون الأمانة العامة</t>
        </is>
      </c>
      <c r="C30" s="16" t="inlineStr">
        <is>
          <t>تميز الموارد البشرية</t>
        </is>
      </c>
      <c r="D30" t="inlineStr">
        <is>
          <t>مشروع استراتيجي توضيحي 029</t>
        </is>
      </c>
      <c r="F30" s="16" t="inlineStr">
        <is>
          <t>M</t>
        </is>
      </c>
      <c r="G30" s="16" t="inlineStr">
        <is>
          <t>Operational</t>
        </is>
      </c>
      <c r="H30" t="inlineStr">
        <is>
          <t>مدير توضيحي 3</t>
        </is>
      </c>
      <c r="I30" s="17" t="inlineStr">
        <is>
          <t>Jan</t>
        </is>
      </c>
      <c r="J30" s="17" t="inlineStr">
        <is>
          <t>Dec</t>
        </is>
      </c>
      <c r="K30" s="18" t="n">
        <v>472500</v>
      </c>
      <c r="L30" s="18" t="n">
        <v>525000</v>
      </c>
      <c r="M30" s="18" t="n">
        <v>420000</v>
      </c>
      <c r="N30" s="18" t="n">
        <v>105000</v>
      </c>
      <c r="O30" s="18" t="n">
        <v>525000</v>
      </c>
      <c r="P30" s="18" t="n">
        <v>183750</v>
      </c>
      <c r="Q30" s="100" t="inlineStr">
        <is>
          <t>Completed</t>
        </is>
      </c>
      <c r="R30" s="100" t="n">
        <v>1</v>
      </c>
      <c r="U30" s="16">
        <f>IF(ISNUMBER(J30),IF(YEAR(J30)=YEAR(ValidationDate),"Q"&amp;ROUNDUP(MONTH(J30)/3,0),YEAR(J30)&amp;" Q"&amp;ROUNDUP(MONTH(J30)/3,0)),IFERROR("Q"&amp;ROUNDUP(MATCH(UPPER(TRIM(J30)),{"JAN","FEB","MAR","APR","MAY","JUN","JUL","AUG","SEP","OCT","NOV","DEC"},0)/3,0),""))</f>
        <v/>
      </c>
      <c r="V30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31">
      <c r="A31" s="16" t="n">
        <v>82</v>
      </c>
      <c r="B31" s="16" t="inlineStr">
        <is>
          <t>الاتصال الحكومي وشؤون الأمانة العامة</t>
        </is>
      </c>
      <c r="C31" s="16" t="inlineStr">
        <is>
          <t>تميز الموارد البشرية</t>
        </is>
      </c>
      <c r="D31" t="inlineStr">
        <is>
          <t>مشروع استراتيجي توضيحي 030</t>
        </is>
      </c>
      <c r="F31" s="16" t="inlineStr">
        <is>
          <t>H</t>
        </is>
      </c>
      <c r="G31" s="16" t="inlineStr">
        <is>
          <t>Operational</t>
        </is>
      </c>
      <c r="H31" t="inlineStr">
        <is>
          <t>مدير توضيحي 1</t>
        </is>
      </c>
      <c r="I31" s="17" t="inlineStr">
        <is>
          <t>Jan</t>
        </is>
      </c>
      <c r="J31" s="17" t="inlineStr">
        <is>
          <t>Dec</t>
        </is>
      </c>
      <c r="K31" s="18" t="n">
        <v>483750</v>
      </c>
      <c r="L31" s="18" t="n">
        <v>537500</v>
      </c>
      <c r="M31" s="18" t="n">
        <v>430000</v>
      </c>
      <c r="N31" s="18" t="n">
        <v>107500</v>
      </c>
      <c r="O31" s="18" t="n">
        <v>322500</v>
      </c>
      <c r="P31" s="18" t="n">
        <v>188125</v>
      </c>
      <c r="Q31" s="100" t="inlineStr">
        <is>
          <t>Active</t>
        </is>
      </c>
      <c r="R31" s="100" t="n">
        <v>0.6</v>
      </c>
      <c r="U31" s="16">
        <f>IF(ISNUMBER(J31),IF(YEAR(J31)=YEAR(ValidationDate),"Q"&amp;ROUNDUP(MONTH(J31)/3,0),YEAR(J31)&amp;" Q"&amp;ROUNDUP(MONTH(J31)/3,0)),IFERROR("Q"&amp;ROUNDUP(MATCH(UPPER(TRIM(J31)),{"JAN","FEB","MAR","APR","MAY","JUN","JUL","AUG","SEP","OCT","NOV","DEC"},0)/3,0),""))</f>
        <v/>
      </c>
      <c r="V31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32">
      <c r="A32" s="16" t="n">
        <v>83</v>
      </c>
      <c r="B32" s="16" t="inlineStr">
        <is>
          <t>الاتصال الحكومي وشؤون الأمانة العامة</t>
        </is>
      </c>
      <c r="C32" s="16" t="inlineStr">
        <is>
          <t>تميز الموارد البشرية</t>
        </is>
      </c>
      <c r="D32" t="inlineStr">
        <is>
          <t>مشروع استراتيجي توضيحي 031</t>
        </is>
      </c>
      <c r="F32" s="16" t="inlineStr">
        <is>
          <t>H</t>
        </is>
      </c>
      <c r="G32" s="16" t="inlineStr">
        <is>
          <t>Operational</t>
        </is>
      </c>
      <c r="H32" t="inlineStr">
        <is>
          <t>مدير توضيحي 2</t>
        </is>
      </c>
      <c r="I32" s="17" t="inlineStr">
        <is>
          <t>Jan</t>
        </is>
      </c>
      <c r="J32" s="17" t="inlineStr">
        <is>
          <t>Dec</t>
        </is>
      </c>
      <c r="K32" s="18" t="n">
        <v>495000</v>
      </c>
      <c r="L32" s="18" t="n">
        <v>550000</v>
      </c>
      <c r="M32" s="18" t="n">
        <v>440000</v>
      </c>
      <c r="N32" s="18" t="n">
        <v>110000</v>
      </c>
      <c r="O32" s="18" t="n">
        <v>0</v>
      </c>
      <c r="P32" s="18" t="n">
        <v>192500</v>
      </c>
      <c r="Q32" s="100" t="inlineStr">
        <is>
          <t>Not Started</t>
        </is>
      </c>
      <c r="R32" s="100" t="n">
        <v>0</v>
      </c>
      <c r="U32" s="16">
        <f>IF(ISNUMBER(J32),IF(YEAR(J32)=YEAR(ValidationDate),"Q"&amp;ROUNDUP(MONTH(J32)/3,0),YEAR(J32)&amp;" Q"&amp;ROUNDUP(MONTH(J32)/3,0)),IFERROR("Q"&amp;ROUNDUP(MATCH(UPPER(TRIM(J32)),{"JAN","FEB","MAR","APR","MAY","JUN","JUL","AUG","SEP","OCT","NOV","DEC"},0)/3,0),""))</f>
        <v/>
      </c>
      <c r="V32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33">
      <c r="A33" s="16" t="n">
        <v>84</v>
      </c>
      <c r="B33" s="16" t="inlineStr">
        <is>
          <t>الاتصال الحكومي وشؤون الأمانة العامة</t>
        </is>
      </c>
      <c r="C33" s="16" t="inlineStr">
        <is>
          <t>تميز الموارد البشرية</t>
        </is>
      </c>
      <c r="D33" t="inlineStr">
        <is>
          <t>مشروع استراتيجي توضيحي 032</t>
        </is>
      </c>
      <c r="F33" s="16" t="inlineStr">
        <is>
          <t>M</t>
        </is>
      </c>
      <c r="G33" s="16" t="inlineStr">
        <is>
          <t>Operational</t>
        </is>
      </c>
      <c r="H33" t="inlineStr">
        <is>
          <t>مدير توضيحي 3</t>
        </is>
      </c>
      <c r="I33" s="17" t="inlineStr">
        <is>
          <t>Jan</t>
        </is>
      </c>
      <c r="J33" s="17" t="inlineStr">
        <is>
          <t>Dec</t>
        </is>
      </c>
      <c r="K33" s="18" t="n">
        <v>506250</v>
      </c>
      <c r="L33" s="18" t="n">
        <v>562500</v>
      </c>
      <c r="M33" s="18" t="n">
        <v>450000</v>
      </c>
      <c r="N33" s="18" t="n">
        <v>112500</v>
      </c>
      <c r="O33" s="18" t="n">
        <v>365625</v>
      </c>
      <c r="P33" s="18" t="n">
        <v>196875</v>
      </c>
      <c r="Q33" s="100" t="inlineStr">
        <is>
          <t>Active</t>
        </is>
      </c>
      <c r="R33" s="100" t="n">
        <v>0.65</v>
      </c>
      <c r="U33" s="16">
        <f>IF(ISNUMBER(J33),IF(YEAR(J33)=YEAR(ValidationDate),"Q"&amp;ROUNDUP(MONTH(J33)/3,0),YEAR(J33)&amp;" Q"&amp;ROUNDUP(MONTH(J33)/3,0)),IFERROR("Q"&amp;ROUNDUP(MATCH(UPPER(TRIM(J33)),{"JAN","FEB","MAR","APR","MAY","JUN","JUL","AUG","SEP","OCT","NOV","DEC"},0)/3,0),""))</f>
        <v/>
      </c>
      <c r="V33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34">
      <c r="A34" s="16" t="n">
        <v>59</v>
      </c>
      <c r="B34" s="16" t="inlineStr">
        <is>
          <t>الاتصال الحكومي وشؤون الأمانة العامة</t>
        </is>
      </c>
      <c r="C34" s="16" t="n"/>
      <c r="D34" t="inlineStr">
        <is>
          <t>مشروع استراتيجي توضيحي 033</t>
        </is>
      </c>
      <c r="F34" s="16" t="inlineStr">
        <is>
          <t>H</t>
        </is>
      </c>
      <c r="G34" s="16" t="inlineStr">
        <is>
          <t>Strategic</t>
        </is>
      </c>
      <c r="H34" t="inlineStr">
        <is>
          <t>مدير توضيحي 1</t>
        </is>
      </c>
      <c r="I34" s="17" t="inlineStr">
        <is>
          <t>Jan</t>
        </is>
      </c>
      <c r="J34" s="17" t="inlineStr">
        <is>
          <t>Dec</t>
        </is>
      </c>
      <c r="K34" s="18" t="n">
        <v>517500</v>
      </c>
      <c r="L34" s="18" t="n">
        <v>575000</v>
      </c>
      <c r="M34" s="18" t="n">
        <v>460000</v>
      </c>
      <c r="N34" s="18" t="n">
        <v>115000</v>
      </c>
      <c r="O34" s="18" t="n">
        <v>115000</v>
      </c>
      <c r="P34" s="18" t="n">
        <v>201250</v>
      </c>
      <c r="Q34" s="100" t="inlineStr">
        <is>
          <t>Active</t>
        </is>
      </c>
      <c r="R34" s="100" t="n">
        <v>0.2</v>
      </c>
      <c r="U34" s="16">
        <f>IF(ISNUMBER(J34),IF(YEAR(J34)=YEAR(ValidationDate),"Q"&amp;ROUNDUP(MONTH(J34)/3,0),YEAR(J34)&amp;" Q"&amp;ROUNDUP(MONTH(J34)/3,0)),IFERROR("Q"&amp;ROUNDUP(MATCH(UPPER(TRIM(J34)),{"JAN","FEB","MAR","APR","MAY","JUN","JUL","AUG","SEP","OCT","NOV","DEC"},0)/3,0),""))</f>
        <v/>
      </c>
      <c r="V34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35">
      <c r="A35" s="16" t="n">
        <v>60</v>
      </c>
      <c r="B35" s="16" t="inlineStr">
        <is>
          <t>الاتصال الحكومي وشؤون الأمانة العامة</t>
        </is>
      </c>
      <c r="C35" s="16" t="n"/>
      <c r="D35" t="inlineStr">
        <is>
          <t>مشروع استراتيجي توضيحي 034</t>
        </is>
      </c>
      <c r="F35" s="16" t="inlineStr">
        <is>
          <t>H</t>
        </is>
      </c>
      <c r="G35" s="16" t="inlineStr">
        <is>
          <t>Strategic</t>
        </is>
      </c>
      <c r="H35" t="inlineStr">
        <is>
          <t>مدير توضيحي 2</t>
        </is>
      </c>
      <c r="I35" s="17" t="inlineStr">
        <is>
          <t>Jan</t>
        </is>
      </c>
      <c r="J35" s="17" t="inlineStr">
        <is>
          <t>Dec</t>
        </is>
      </c>
      <c r="K35" s="18" t="n">
        <v>528750</v>
      </c>
      <c r="L35" s="18" t="n">
        <v>587500</v>
      </c>
      <c r="M35" s="18" t="n">
        <v>470000</v>
      </c>
      <c r="N35" s="18" t="n">
        <v>117500</v>
      </c>
      <c r="O35" s="18" t="n">
        <v>381875</v>
      </c>
      <c r="P35" s="18" t="n">
        <v>205625</v>
      </c>
      <c r="Q35" s="100" t="inlineStr">
        <is>
          <t>Active</t>
        </is>
      </c>
      <c r="R35" s="100" t="n">
        <v>0.65</v>
      </c>
      <c r="U35" s="16">
        <f>IF(ISNUMBER(J35),IF(YEAR(J35)=YEAR(ValidationDate),"Q"&amp;ROUNDUP(MONTH(J35)/3,0),YEAR(J35)&amp;" Q"&amp;ROUNDUP(MONTH(J35)/3,0)),IFERROR("Q"&amp;ROUNDUP(MATCH(UPPER(TRIM(J35)),{"JAN","FEB","MAR","APR","MAY","JUN","JUL","AUG","SEP","OCT","NOV","DEC"},0)/3,0),""))</f>
        <v/>
      </c>
      <c r="V35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36">
      <c r="A36" s="16" t="n">
        <v>35</v>
      </c>
      <c r="B36" s="16" t="inlineStr">
        <is>
          <t>الاقتصاد والتنمية الاجتماعية</t>
        </is>
      </c>
      <c r="C36" s="16" t="inlineStr">
        <is>
          <t>السياسات والاستراتيجيات الاجتماعية</t>
        </is>
      </c>
      <c r="D36" t="inlineStr">
        <is>
          <t>مشروع استراتيجي توضيحي 035</t>
        </is>
      </c>
      <c r="F36" s="16" t="inlineStr">
        <is>
          <t>H</t>
        </is>
      </c>
      <c r="G36" s="16" t="inlineStr">
        <is>
          <t>Strategic</t>
        </is>
      </c>
      <c r="H36" t="inlineStr">
        <is>
          <t>مدير توضيحي 3</t>
        </is>
      </c>
      <c r="I36" s="17" t="inlineStr">
        <is>
          <t>Jan</t>
        </is>
      </c>
      <c r="J36" s="17" t="inlineStr">
        <is>
          <t>Dec</t>
        </is>
      </c>
      <c r="K36" s="18" t="n">
        <v>540000</v>
      </c>
      <c r="L36" s="18" t="n">
        <v>600000</v>
      </c>
      <c r="M36" s="18" t="n">
        <v>480000</v>
      </c>
      <c r="N36" s="18" t="n">
        <v>120000</v>
      </c>
      <c r="O36" s="18" t="n">
        <v>600000</v>
      </c>
      <c r="P36" s="18" t="n">
        <v>210000</v>
      </c>
      <c r="Q36" s="100" t="inlineStr">
        <is>
          <t>Completed</t>
        </is>
      </c>
      <c r="R36" s="100" t="n">
        <v>1</v>
      </c>
      <c r="U36" s="16">
        <f>IF(ISNUMBER(J36),IF(YEAR(J36)=YEAR(ValidationDate),"Q"&amp;ROUNDUP(MONTH(J36)/3,0),YEAR(J36)&amp;" Q"&amp;ROUNDUP(MONTH(J36)/3,0)),IFERROR("Q"&amp;ROUNDUP(MATCH(UPPER(TRIM(J36)),{"JAN","FEB","MAR","APR","MAY","JUN","JUL","AUG","SEP","OCT","NOV","DEC"},0)/3,0),""))</f>
        <v/>
      </c>
      <c r="V36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37">
      <c r="A37" s="16" t="n">
        <v>36</v>
      </c>
      <c r="B37" s="16" t="inlineStr">
        <is>
          <t>الاقتصاد والتنمية الاجتماعية</t>
        </is>
      </c>
      <c r="C37" s="16" t="inlineStr">
        <is>
          <t>السياسات والاستراتيجيات الاجتماعية</t>
        </is>
      </c>
      <c r="D37" t="inlineStr">
        <is>
          <t>مشروع استراتيجي توضيحي 036</t>
        </is>
      </c>
      <c r="F37" s="16" t="inlineStr">
        <is>
          <t>M</t>
        </is>
      </c>
      <c r="G37" s="16" t="inlineStr">
        <is>
          <t>Strategic</t>
        </is>
      </c>
      <c r="H37" t="inlineStr">
        <is>
          <t>مدير توضيحي 1</t>
        </is>
      </c>
      <c r="I37" s="17" t="inlineStr">
        <is>
          <t>Jan</t>
        </is>
      </c>
      <c r="J37" s="17" t="inlineStr">
        <is>
          <t>Dec</t>
        </is>
      </c>
      <c r="K37" s="18" t="n">
        <v>551250</v>
      </c>
      <c r="L37" s="18" t="n">
        <v>612500</v>
      </c>
      <c r="M37" s="18" t="n">
        <v>490000</v>
      </c>
      <c r="N37" s="18" t="n">
        <v>122500</v>
      </c>
      <c r="O37" s="18" t="n">
        <v>153125</v>
      </c>
      <c r="P37" s="18" t="n">
        <v>214375</v>
      </c>
      <c r="Q37" s="100" t="inlineStr">
        <is>
          <t>Active</t>
        </is>
      </c>
      <c r="R37" s="100" t="n">
        <v>0.25</v>
      </c>
      <c r="U37" s="16">
        <f>IF(ISNUMBER(J37),IF(YEAR(J37)=YEAR(ValidationDate),"Q"&amp;ROUNDUP(MONTH(J37)/3,0),YEAR(J37)&amp;" Q"&amp;ROUNDUP(MONTH(J37)/3,0)),IFERROR("Q"&amp;ROUNDUP(MATCH(UPPER(TRIM(J37)),{"JAN","FEB","MAR","APR","MAY","JUN","JUL","AUG","SEP","OCT","NOV","DEC"},0)/3,0),""))</f>
        <v/>
      </c>
      <c r="V37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38">
      <c r="A38" s="16" t="n">
        <v>39</v>
      </c>
      <c r="B38" s="16" t="inlineStr">
        <is>
          <t>الاقتصاد والتنمية الاجتماعية</t>
        </is>
      </c>
      <c r="C38" s="16" t="inlineStr">
        <is>
          <t>السياسات والاستراتيجيات الاجتماعية</t>
        </is>
      </c>
      <c r="D38" t="inlineStr">
        <is>
          <t>مشروع استراتيجي توضيحي 037</t>
        </is>
      </c>
      <c r="F38" s="16" t="inlineStr">
        <is>
          <t>M</t>
        </is>
      </c>
      <c r="G38" s="16" t="inlineStr">
        <is>
          <t>Strategic</t>
        </is>
      </c>
      <c r="H38" t="inlineStr">
        <is>
          <t>مدير توضيحي 2</t>
        </is>
      </c>
      <c r="I38" s="17" t="inlineStr">
        <is>
          <t>Jan</t>
        </is>
      </c>
      <c r="J38" s="17" t="inlineStr">
        <is>
          <t>Dec</t>
        </is>
      </c>
      <c r="K38" s="18" t="n">
        <v>562500</v>
      </c>
      <c r="L38" s="18" t="n">
        <v>625000</v>
      </c>
      <c r="M38" s="18" t="n">
        <v>500000</v>
      </c>
      <c r="N38" s="18" t="n">
        <v>125000</v>
      </c>
      <c r="O38" s="18" t="n">
        <v>0</v>
      </c>
      <c r="P38" s="18" t="n">
        <v>218750</v>
      </c>
      <c r="Q38" s="100" t="inlineStr">
        <is>
          <t>Transferred</t>
        </is>
      </c>
      <c r="R38" s="100" t="n">
        <v>0</v>
      </c>
      <c r="U38" s="16">
        <f>IF(ISNUMBER(J38),IF(YEAR(J38)=YEAR(ValidationDate),"Q"&amp;ROUNDUP(MONTH(J38)/3,0),YEAR(J38)&amp;" Q"&amp;ROUNDUP(MONTH(J38)/3,0)),IFERROR("Q"&amp;ROUNDUP(MATCH(UPPER(TRIM(J38)),{"JAN","FEB","MAR","APR","MAY","JUN","JUL","AUG","SEP","OCT","NOV","DEC"},0)/3,0),""))</f>
        <v/>
      </c>
      <c r="V38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39">
      <c r="A39" s="16" t="n">
        <v>40</v>
      </c>
      <c r="B39" s="16" t="inlineStr">
        <is>
          <t>الاقتصاد والتنمية الاجتماعية</t>
        </is>
      </c>
      <c r="C39" s="16" t="inlineStr">
        <is>
          <t>السياسات والاستراتيجيات الاجتماعية</t>
        </is>
      </c>
      <c r="D39" t="inlineStr">
        <is>
          <t>مشروع استراتيجي توضيحي 038</t>
        </is>
      </c>
      <c r="F39" s="16" t="inlineStr">
        <is>
          <t>M</t>
        </is>
      </c>
      <c r="G39" s="16" t="inlineStr">
        <is>
          <t>Strategic</t>
        </is>
      </c>
      <c r="H39" t="inlineStr">
        <is>
          <t>مدير توضيحي 3</t>
        </is>
      </c>
      <c r="I39" s="17" t="inlineStr">
        <is>
          <t>Jan</t>
        </is>
      </c>
      <c r="J39" s="17" t="inlineStr">
        <is>
          <t>Dec</t>
        </is>
      </c>
      <c r="K39" s="18" t="n">
        <v>573750</v>
      </c>
      <c r="L39" s="18" t="n">
        <v>637500</v>
      </c>
      <c r="M39" s="18" t="n">
        <v>510000</v>
      </c>
      <c r="N39" s="18" t="n">
        <v>127500</v>
      </c>
      <c r="O39" s="18" t="n">
        <v>0</v>
      </c>
      <c r="P39" s="18" t="n">
        <v>223125</v>
      </c>
      <c r="Q39" s="100" t="inlineStr">
        <is>
          <t>Transferred</t>
        </is>
      </c>
      <c r="R39" s="100" t="n">
        <v>0</v>
      </c>
      <c r="U39" s="16">
        <f>IF(ISNUMBER(J39),IF(YEAR(J39)=YEAR(ValidationDate),"Q"&amp;ROUNDUP(MONTH(J39)/3,0),YEAR(J39)&amp;" Q"&amp;ROUNDUP(MONTH(J39)/3,0)),IFERROR("Q"&amp;ROUNDUP(MATCH(UPPER(TRIM(J39)),{"JAN","FEB","MAR","APR","MAY","JUN","JUL","AUG","SEP","OCT","NOV","DEC"},0)/3,0),""))</f>
        <v/>
      </c>
      <c r="V39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40">
      <c r="A40" s="16" t="n">
        <v>37</v>
      </c>
      <c r="B40" s="16" t="inlineStr">
        <is>
          <t>الاقتصاد والتنمية الاجتماعية</t>
        </is>
      </c>
      <c r="C40" s="16" t="n"/>
      <c r="D40" t="inlineStr">
        <is>
          <t>مشروع استراتيجي توضيحي 039</t>
        </is>
      </c>
      <c r="F40" s="16" t="inlineStr">
        <is>
          <t>H</t>
        </is>
      </c>
      <c r="G40" s="16" t="inlineStr">
        <is>
          <t>Strategic</t>
        </is>
      </c>
      <c r="H40" t="inlineStr">
        <is>
          <t>مدير توضيحي 1</t>
        </is>
      </c>
      <c r="I40" s="17" t="inlineStr">
        <is>
          <t>Jan</t>
        </is>
      </c>
      <c r="J40" s="17" t="inlineStr">
        <is>
          <t>Dec</t>
        </is>
      </c>
      <c r="K40" s="18" t="n">
        <v>585000</v>
      </c>
      <c r="L40" s="18" t="n">
        <v>650000</v>
      </c>
      <c r="M40" s="18" t="n">
        <v>520000</v>
      </c>
      <c r="N40" s="18" t="n">
        <v>130000</v>
      </c>
      <c r="O40" s="18" t="n">
        <v>130000</v>
      </c>
      <c r="P40" s="18" t="n">
        <v>227500</v>
      </c>
      <c r="Q40" s="100" t="inlineStr">
        <is>
          <t>Active</t>
        </is>
      </c>
      <c r="R40" s="100" t="n">
        <v>0.2</v>
      </c>
      <c r="U40" s="16">
        <f>IF(ISNUMBER(J40),IF(YEAR(J40)=YEAR(ValidationDate),"Q"&amp;ROUNDUP(MONTH(J40)/3,0),YEAR(J40)&amp;" Q"&amp;ROUNDUP(MONTH(J40)/3,0)),IFERROR("Q"&amp;ROUNDUP(MATCH(UPPER(TRIM(J40)),{"JAN","FEB","MAR","APR","MAY","JUN","JUL","AUG","SEP","OCT","NOV","DEC"},0)/3,0),""))</f>
        <v/>
      </c>
      <c r="V40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41">
      <c r="A41" s="16" t="n">
        <v>38</v>
      </c>
      <c r="B41" s="16" t="inlineStr">
        <is>
          <t>الاقتصاد والتنمية الاجتماعية</t>
        </is>
      </c>
      <c r="C41" s="16" t="n"/>
      <c r="D41" t="inlineStr">
        <is>
          <t>مشروع استراتيجي توضيحي 040</t>
        </is>
      </c>
      <c r="F41" s="16" t="inlineStr">
        <is>
          <t>H</t>
        </is>
      </c>
      <c r="G41" s="16" t="inlineStr">
        <is>
          <t>Strategic</t>
        </is>
      </c>
      <c r="H41" t="inlineStr">
        <is>
          <t>مدير توضيحي 2</t>
        </is>
      </c>
      <c r="I41" s="17" t="inlineStr">
        <is>
          <t>Jan</t>
        </is>
      </c>
      <c r="J41" s="17" t="inlineStr">
        <is>
          <t>Dec</t>
        </is>
      </c>
      <c r="K41" s="18" t="n">
        <v>596250</v>
      </c>
      <c r="L41" s="18" t="n">
        <v>662500</v>
      </c>
      <c r="M41" s="18" t="n">
        <v>530000</v>
      </c>
      <c r="N41" s="18" t="n">
        <v>132500</v>
      </c>
      <c r="O41" s="18" t="n">
        <v>430625</v>
      </c>
      <c r="P41" s="18" t="n">
        <v>231875</v>
      </c>
      <c r="Q41" s="100" t="inlineStr">
        <is>
          <t>Active</t>
        </is>
      </c>
      <c r="R41" s="100" t="n">
        <v>0.65</v>
      </c>
      <c r="U41" s="16">
        <f>IF(ISNUMBER(J41),IF(YEAR(J41)=YEAR(ValidationDate),"Q"&amp;ROUNDUP(MONTH(J41)/3,0),YEAR(J41)&amp;" Q"&amp;ROUNDUP(MONTH(J41)/3,0)),IFERROR("Q"&amp;ROUNDUP(MATCH(UPPER(TRIM(J41)),{"JAN","FEB","MAR","APR","MAY","JUN","JUL","AUG","SEP","OCT","NOV","DEC"},0)/3,0),""))</f>
        <v/>
      </c>
      <c r="V41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42">
      <c r="A42" s="16" t="n">
        <v>5</v>
      </c>
      <c r="B42" s="16" t="inlineStr">
        <is>
          <t>الأمانة العامة للمجلس التنفيذي</t>
        </is>
      </c>
      <c r="C42" s="16" t="inlineStr">
        <is>
          <t>الأبحاث والرصد</t>
        </is>
      </c>
      <c r="D42" t="inlineStr">
        <is>
          <t>مشروع استراتيجي توضيحي 041</t>
        </is>
      </c>
      <c r="F42" s="16" t="inlineStr">
        <is>
          <t>H</t>
        </is>
      </c>
      <c r="G42" s="16" t="inlineStr">
        <is>
          <t>Strategic</t>
        </is>
      </c>
      <c r="H42" t="inlineStr">
        <is>
          <t>مدير توضيحي 3</t>
        </is>
      </c>
      <c r="I42" s="17" t="inlineStr">
        <is>
          <t>Apr</t>
        </is>
      </c>
      <c r="J42" s="17" t="n">
        <v>46446</v>
      </c>
      <c r="K42" s="18" t="n">
        <v>607500</v>
      </c>
      <c r="L42" s="18" t="n">
        <v>675000</v>
      </c>
      <c r="M42" s="18" t="n">
        <v>540000</v>
      </c>
      <c r="N42" s="18" t="n">
        <v>135000</v>
      </c>
      <c r="O42" s="18" t="n">
        <v>67500</v>
      </c>
      <c r="P42" s="18" t="n">
        <v>236250</v>
      </c>
      <c r="Q42" s="100" t="inlineStr">
        <is>
          <t>Active</t>
        </is>
      </c>
      <c r="R42" s="100" t="n">
        <v>0.1</v>
      </c>
      <c r="U42" s="16">
        <f>IF(ISNUMBER(J42),IF(YEAR(J42)=YEAR(ValidationDate),"Q"&amp;ROUNDUP(MONTH(J42)/3,0),YEAR(J42)&amp;" Q"&amp;ROUNDUP(MONTH(J42)/3,0)),IFERROR("Q"&amp;ROUNDUP(MATCH(UPPER(TRIM(J42)),{"JAN","FEB","MAR","APR","MAY","JUN","JUL","AUG","SEP","OCT","NOV","DEC"},0)/3,0),""))</f>
        <v/>
      </c>
      <c r="V42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43">
      <c r="A43" s="16" t="n">
        <v>6</v>
      </c>
      <c r="B43" s="16" t="inlineStr">
        <is>
          <t>الأمانة العامة للمجلس التنفيذي</t>
        </is>
      </c>
      <c r="C43" s="16" t="inlineStr">
        <is>
          <t>الأبحاث والرصد</t>
        </is>
      </c>
      <c r="D43" t="inlineStr">
        <is>
          <t>مشروع استراتيجي توضيحي 042</t>
        </is>
      </c>
      <c r="F43" s="16" t="inlineStr">
        <is>
          <t>H</t>
        </is>
      </c>
      <c r="G43" s="16" t="inlineStr">
        <is>
          <t>Operational</t>
        </is>
      </c>
      <c r="H43" t="inlineStr">
        <is>
          <t>مدير توضيحي 1</t>
        </is>
      </c>
      <c r="I43" s="17" t="inlineStr">
        <is>
          <t>Apr</t>
        </is>
      </c>
      <c r="J43" s="17" t="n">
        <v>46446</v>
      </c>
      <c r="K43" s="18" t="n">
        <v>618750</v>
      </c>
      <c r="L43" s="18" t="n">
        <v>687500</v>
      </c>
      <c r="M43" s="18" t="n">
        <v>550000</v>
      </c>
      <c r="N43" s="18" t="n">
        <v>137500</v>
      </c>
      <c r="O43" s="18" t="n">
        <v>103125</v>
      </c>
      <c r="P43" s="18" t="n">
        <v>240625</v>
      </c>
      <c r="Q43" s="100" t="inlineStr">
        <is>
          <t>Active</t>
        </is>
      </c>
      <c r="R43" s="100" t="n">
        <v>0.15</v>
      </c>
      <c r="U43" s="16">
        <f>IF(ISNUMBER(J43),IF(YEAR(J43)=YEAR(ValidationDate),"Q"&amp;ROUNDUP(MONTH(J43)/3,0),YEAR(J43)&amp;" Q"&amp;ROUNDUP(MONTH(J43)/3,0)),IFERROR("Q"&amp;ROUNDUP(MATCH(UPPER(TRIM(J43)),{"JAN","FEB","MAR","APR","MAY","JUN","JUL","AUG","SEP","OCT","NOV","DEC"},0)/3,0),""))</f>
        <v/>
      </c>
      <c r="V43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44">
      <c r="A44" s="16" t="n">
        <v>7</v>
      </c>
      <c r="B44" s="16" t="inlineStr">
        <is>
          <t>الأمانة العامة للمجلس التنفيذي</t>
        </is>
      </c>
      <c r="C44" s="16" t="inlineStr">
        <is>
          <t>الأبحاث والرصد</t>
        </is>
      </c>
      <c r="D44" t="inlineStr">
        <is>
          <t>مشروع استراتيجي توضيحي 043</t>
        </is>
      </c>
      <c r="F44" s="16" t="inlineStr">
        <is>
          <t>M</t>
        </is>
      </c>
      <c r="G44" s="16" t="inlineStr">
        <is>
          <t>Strategic</t>
        </is>
      </c>
      <c r="H44" t="inlineStr">
        <is>
          <t>مدير توضيحي 2</t>
        </is>
      </c>
      <c r="I44" s="17" t="inlineStr">
        <is>
          <t>Apr</t>
        </is>
      </c>
      <c r="J44" s="17" t="n">
        <v>46446</v>
      </c>
      <c r="K44" s="18" t="n">
        <v>630000</v>
      </c>
      <c r="L44" s="18" t="n">
        <v>700000</v>
      </c>
      <c r="M44" s="18" t="n">
        <v>560000</v>
      </c>
      <c r="N44" s="18" t="n">
        <v>140000</v>
      </c>
      <c r="O44" s="18" t="n">
        <v>140000</v>
      </c>
      <c r="P44" s="18" t="n">
        <v>245000</v>
      </c>
      <c r="Q44" s="100" t="inlineStr">
        <is>
          <t>Active</t>
        </is>
      </c>
      <c r="R44" s="100" t="n">
        <v>0.2</v>
      </c>
      <c r="U44" s="16">
        <f>IF(ISNUMBER(J44),IF(YEAR(J44)=YEAR(ValidationDate),"Q"&amp;ROUNDUP(MONTH(J44)/3,0),YEAR(J44)&amp;" Q"&amp;ROUNDUP(MONTH(J44)/3,0)),IFERROR("Q"&amp;ROUNDUP(MATCH(UPPER(TRIM(J44)),{"JAN","FEB","MAR","APR","MAY","JUN","JUL","AUG","SEP","OCT","NOV","DEC"},0)/3,0),""))</f>
        <v/>
      </c>
      <c r="V44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45">
      <c r="A45" s="16" t="n">
        <v>1</v>
      </c>
      <c r="B45" s="16" t="inlineStr">
        <is>
          <t>الأمانة العامة للمجلس التنفيذي</t>
        </is>
      </c>
      <c r="C45" s="16" t="inlineStr">
        <is>
          <t>مكتب الأمين العام</t>
        </is>
      </c>
      <c r="D45" t="inlineStr">
        <is>
          <t>مشروع استراتيجي توضيحي 044</t>
        </is>
      </c>
      <c r="F45" s="16" t="inlineStr">
        <is>
          <t>H</t>
        </is>
      </c>
      <c r="G45" s="16" t="inlineStr">
        <is>
          <t>Operational</t>
        </is>
      </c>
      <c r="H45" t="inlineStr">
        <is>
          <t>مدير توضيحي 3</t>
        </is>
      </c>
      <c r="I45" s="17" t="inlineStr">
        <is>
          <t>Jan</t>
        </is>
      </c>
      <c r="J45" s="17" t="inlineStr">
        <is>
          <t>Dec</t>
        </is>
      </c>
      <c r="K45" s="18" t="n">
        <v>641250</v>
      </c>
      <c r="L45" s="18" t="n">
        <v>712500</v>
      </c>
      <c r="M45" s="18" t="n">
        <v>570000</v>
      </c>
      <c r="N45" s="18" t="n">
        <v>142500</v>
      </c>
      <c r="O45" s="18" t="n">
        <v>712500</v>
      </c>
      <c r="P45" s="18" t="n">
        <v>249375</v>
      </c>
      <c r="Q45" s="100" t="inlineStr">
        <is>
          <t>Completed</t>
        </is>
      </c>
      <c r="R45" s="100" t="n">
        <v>1</v>
      </c>
      <c r="U45" s="16">
        <f>IF(ISNUMBER(J45),IF(YEAR(J45)=YEAR(ValidationDate),"Q"&amp;ROUNDUP(MONTH(J45)/3,0),YEAR(J45)&amp;" Q"&amp;ROUNDUP(MONTH(J45)/3,0)),IFERROR("Q"&amp;ROUNDUP(MATCH(UPPER(TRIM(J45)),{"JAN","FEB","MAR","APR","MAY","JUN","JUL","AUG","SEP","OCT","NOV","DEC"},0)/3,0),""))</f>
        <v/>
      </c>
      <c r="V45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46">
      <c r="A46" s="16" t="n">
        <v>2</v>
      </c>
      <c r="B46" s="16" t="inlineStr">
        <is>
          <t>الأمانة العامة للمجلس التنفيذي</t>
        </is>
      </c>
      <c r="C46" s="16" t="inlineStr">
        <is>
          <t>مكتب الأمين العام</t>
        </is>
      </c>
      <c r="D46" t="inlineStr">
        <is>
          <t>مشروع استراتيجي توضيحي 045</t>
        </is>
      </c>
      <c r="F46" s="16" t="inlineStr">
        <is>
          <t>H</t>
        </is>
      </c>
      <c r="G46" s="16" t="inlineStr">
        <is>
          <t>Strategic</t>
        </is>
      </c>
      <c r="H46" t="inlineStr">
        <is>
          <t>مدير توضيحي 1</t>
        </is>
      </c>
      <c r="I46" s="17" t="inlineStr">
        <is>
          <t>Jan</t>
        </is>
      </c>
      <c r="J46" s="17" t="inlineStr">
        <is>
          <t>Dec</t>
        </is>
      </c>
      <c r="K46" s="18" t="n">
        <v>652500</v>
      </c>
      <c r="L46" s="18" t="n">
        <v>725000</v>
      </c>
      <c r="M46" s="18" t="n">
        <v>580000</v>
      </c>
      <c r="N46" s="18" t="n">
        <v>145000</v>
      </c>
      <c r="O46" s="18" t="n">
        <v>108750</v>
      </c>
      <c r="P46" s="18" t="n">
        <v>253750</v>
      </c>
      <c r="Q46" s="100" t="inlineStr">
        <is>
          <t>Active</t>
        </is>
      </c>
      <c r="R46" s="100" t="n">
        <v>0.15</v>
      </c>
      <c r="U46" s="16">
        <f>IF(ISNUMBER(J46),IF(YEAR(J46)=YEAR(ValidationDate),"Q"&amp;ROUNDUP(MONTH(J46)/3,0),YEAR(J46)&amp;" Q"&amp;ROUNDUP(MONTH(J46)/3,0)),IFERROR("Q"&amp;ROUNDUP(MATCH(UPPER(TRIM(J46)),{"JAN","FEB","MAR","APR","MAY","JUN","JUL","AUG","SEP","OCT","NOV","DEC"},0)/3,0),""))</f>
        <v/>
      </c>
      <c r="V46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47">
      <c r="A47" s="16" t="n">
        <v>3</v>
      </c>
      <c r="B47" s="16" t="inlineStr">
        <is>
          <t>الأمانة العامة للمجلس التنفيذي</t>
        </is>
      </c>
      <c r="C47" s="16" t="inlineStr">
        <is>
          <t>مكتب الأمين العام</t>
        </is>
      </c>
      <c r="D47" t="inlineStr">
        <is>
          <t>مشروع استراتيجي توضيحي 046</t>
        </is>
      </c>
      <c r="F47" s="16" t="inlineStr">
        <is>
          <t>H</t>
        </is>
      </c>
      <c r="G47" s="16" t="inlineStr">
        <is>
          <t>Operational</t>
        </is>
      </c>
      <c r="H47" t="inlineStr">
        <is>
          <t>مدير توضيحي 2</t>
        </is>
      </c>
      <c r="I47" s="17" t="inlineStr">
        <is>
          <t>Jan</t>
        </is>
      </c>
      <c r="J47" s="17" t="inlineStr">
        <is>
          <t>Dec</t>
        </is>
      </c>
      <c r="K47" s="18" t="n">
        <v>663750</v>
      </c>
      <c r="L47" s="18" t="n">
        <v>737500</v>
      </c>
      <c r="M47" s="18" t="n">
        <v>590000</v>
      </c>
      <c r="N47" s="18" t="n">
        <v>147500</v>
      </c>
      <c r="O47" s="18" t="n">
        <v>737500</v>
      </c>
      <c r="P47" s="18" t="n">
        <v>258125</v>
      </c>
      <c r="Q47" s="100" t="inlineStr">
        <is>
          <t>Completed</t>
        </is>
      </c>
      <c r="R47" s="100" t="n">
        <v>1</v>
      </c>
      <c r="U47" s="16">
        <f>IF(ISNUMBER(J47),IF(YEAR(J47)=YEAR(ValidationDate),"Q"&amp;ROUNDUP(MONTH(J47)/3,0),YEAR(J47)&amp;" Q"&amp;ROUNDUP(MONTH(J47)/3,0)),IFERROR("Q"&amp;ROUNDUP(MATCH(UPPER(TRIM(J47)),{"JAN","FEB","MAR","APR","MAY","JUN","JUL","AUG","SEP","OCT","NOV","DEC"},0)/3,0),""))</f>
        <v/>
      </c>
      <c r="V47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48">
      <c r="A48" s="16" t="n">
        <v>4</v>
      </c>
      <c r="B48" s="16" t="inlineStr">
        <is>
          <t>الأمانة العامة للمجلس التنفيذي</t>
        </is>
      </c>
      <c r="C48" s="16" t="inlineStr">
        <is>
          <t>مكتب التدقيق الداخلي</t>
        </is>
      </c>
      <c r="D48" t="inlineStr">
        <is>
          <t>مشروع استراتيجي توضيحي 047</t>
        </is>
      </c>
      <c r="F48" s="16" t="inlineStr">
        <is>
          <t>H</t>
        </is>
      </c>
      <c r="G48" s="16" t="inlineStr">
        <is>
          <t>Operational</t>
        </is>
      </c>
      <c r="H48" t="inlineStr">
        <is>
          <t>مدير توضيحي 3</t>
        </is>
      </c>
      <c r="I48" s="17" t="inlineStr">
        <is>
          <t>Jan</t>
        </is>
      </c>
      <c r="J48" s="17" t="inlineStr">
        <is>
          <t>Dec</t>
        </is>
      </c>
      <c r="K48" s="18" t="n">
        <v>675000</v>
      </c>
      <c r="L48" s="18" t="n">
        <v>750000</v>
      </c>
      <c r="M48" s="18" t="n">
        <v>600000</v>
      </c>
      <c r="N48" s="18" t="n">
        <v>150000</v>
      </c>
      <c r="O48" s="18" t="n">
        <v>262500</v>
      </c>
      <c r="P48" s="18" t="n">
        <v>262500</v>
      </c>
      <c r="Q48" s="100" t="inlineStr">
        <is>
          <t>Active</t>
        </is>
      </c>
      <c r="R48" s="100" t="n">
        <v>0.35</v>
      </c>
      <c r="U48" s="16">
        <f>IF(ISNUMBER(J48),IF(YEAR(J48)=YEAR(ValidationDate),"Q"&amp;ROUNDUP(MONTH(J48)/3,0),YEAR(J48)&amp;" Q"&amp;ROUNDUP(MONTH(J48)/3,0)),IFERROR("Q"&amp;ROUNDUP(MATCH(UPPER(TRIM(J48)),{"JAN","FEB","MAR","APR","MAY","JUN","JUL","AUG","SEP","OCT","NOV","DEC"},0)/3,0),""))</f>
        <v/>
      </c>
      <c r="V48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49">
      <c r="A49" s="16" t="n">
        <v>8</v>
      </c>
      <c r="B49" s="16" t="inlineStr">
        <is>
          <t>التميز والخدمات الحكومية</t>
        </is>
      </c>
      <c r="C49" s="16" t="inlineStr">
        <is>
          <t>التقييم والدراسات</t>
        </is>
      </c>
      <c r="D49" t="inlineStr">
        <is>
          <t>مشروع استراتيجي توضيحي 048</t>
        </is>
      </c>
      <c r="F49" s="16" t="inlineStr">
        <is>
          <t>H</t>
        </is>
      </c>
      <c r="G49" s="16" t="inlineStr">
        <is>
          <t>Strategic</t>
        </is>
      </c>
      <c r="H49" t="inlineStr">
        <is>
          <t>مدير توضيحي 1</t>
        </is>
      </c>
      <c r="I49" s="17" t="inlineStr">
        <is>
          <t>Jan</t>
        </is>
      </c>
      <c r="J49" s="17" t="inlineStr">
        <is>
          <t>Dec</t>
        </is>
      </c>
      <c r="K49" s="18" t="n">
        <v>686250</v>
      </c>
      <c r="L49" s="18" t="n">
        <v>762500</v>
      </c>
      <c r="M49" s="18" t="n">
        <v>610000</v>
      </c>
      <c r="N49" s="18" t="n">
        <v>152500</v>
      </c>
      <c r="O49" s="18" t="n">
        <v>762500</v>
      </c>
      <c r="P49" s="18" t="n">
        <v>266875</v>
      </c>
      <c r="Q49" s="100" t="inlineStr">
        <is>
          <t>Completed</t>
        </is>
      </c>
      <c r="R49" s="100" t="n">
        <v>1</v>
      </c>
      <c r="U49" s="16">
        <f>IF(ISNUMBER(J49),IF(YEAR(J49)=YEAR(ValidationDate),"Q"&amp;ROUNDUP(MONTH(J49)/3,0),YEAR(J49)&amp;" Q"&amp;ROUNDUP(MONTH(J49)/3,0)),IFERROR("Q"&amp;ROUNDUP(MATCH(UPPER(TRIM(J49)),{"JAN","FEB","MAR","APR","MAY","JUN","JUL","AUG","SEP","OCT","NOV","DEC"},0)/3,0),""))</f>
        <v/>
      </c>
      <c r="V49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50">
      <c r="A50" s="16" t="n">
        <v>9</v>
      </c>
      <c r="B50" s="16" t="inlineStr">
        <is>
          <t>التميز والخدمات الحكومية</t>
        </is>
      </c>
      <c r="C50" s="16" t="inlineStr">
        <is>
          <t>التقييم والدراسات</t>
        </is>
      </c>
      <c r="D50" t="inlineStr">
        <is>
          <t>مشروع استراتيجي توضيحي 049</t>
        </is>
      </c>
      <c r="F50" s="16" t="inlineStr">
        <is>
          <t>H</t>
        </is>
      </c>
      <c r="G50" s="16" t="inlineStr">
        <is>
          <t>Strategic</t>
        </is>
      </c>
      <c r="H50" t="inlineStr">
        <is>
          <t>مدير توضيحي 2</t>
        </is>
      </c>
      <c r="I50" s="17" t="inlineStr">
        <is>
          <t>Jan</t>
        </is>
      </c>
      <c r="J50" s="17" t="inlineStr">
        <is>
          <t>Dec</t>
        </is>
      </c>
      <c r="K50" s="18" t="n">
        <v>697500</v>
      </c>
      <c r="L50" s="18" t="n">
        <v>775000</v>
      </c>
      <c r="M50" s="18" t="n">
        <v>620000</v>
      </c>
      <c r="N50" s="18" t="n">
        <v>155000</v>
      </c>
      <c r="O50" s="18" t="n">
        <v>0</v>
      </c>
      <c r="P50" s="18" t="n">
        <v>271250</v>
      </c>
      <c r="Q50" s="100" t="inlineStr">
        <is>
          <t>Cancelled</t>
        </is>
      </c>
      <c r="R50" s="100" t="n">
        <v>0</v>
      </c>
      <c r="S50" t="inlineStr">
        <is>
          <t>ملاحظة توضيحية: يتطلب البند مراجعة المستجدات وتأكيد الخطوة المقبلة مع الوحدة المعنية.</t>
        </is>
      </c>
      <c r="U50" s="16">
        <f>IF(ISNUMBER(J50),IF(YEAR(J50)=YEAR(ValidationDate),"Q"&amp;ROUNDUP(MONTH(J50)/3,0),YEAR(J50)&amp;" Q"&amp;ROUNDUP(MONTH(J50)/3,0)),IFERROR("Q"&amp;ROUNDUP(MATCH(UPPER(TRIM(J50)),{"JAN","FEB","MAR","APR","MAY","JUN","JUL","AUG","SEP","OCT","NOV","DEC"},0)/3,0),""))</f>
        <v/>
      </c>
      <c r="V50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51">
      <c r="A51" s="16" t="n">
        <v>10</v>
      </c>
      <c r="B51" s="16" t="inlineStr">
        <is>
          <t>التميز والخدمات الحكومية</t>
        </is>
      </c>
      <c r="C51" s="16" t="inlineStr">
        <is>
          <t>التقييم والدراسات</t>
        </is>
      </c>
      <c r="D51" t="inlineStr">
        <is>
          <t>مشروع استراتيجي توضيحي 050</t>
        </is>
      </c>
      <c r="F51" s="16" t="inlineStr">
        <is>
          <t>H</t>
        </is>
      </c>
      <c r="G51" s="16" t="inlineStr">
        <is>
          <t>Strategic</t>
        </is>
      </c>
      <c r="H51" t="inlineStr">
        <is>
          <t>مدير توضيحي 3</t>
        </is>
      </c>
      <c r="I51" s="17" t="inlineStr">
        <is>
          <t>Jan</t>
        </is>
      </c>
      <c r="J51" s="17" t="inlineStr">
        <is>
          <t>Dec</t>
        </is>
      </c>
      <c r="K51" s="18" t="n">
        <v>708750</v>
      </c>
      <c r="L51" s="18" t="n">
        <v>787500</v>
      </c>
      <c r="M51" s="18" t="n">
        <v>630000</v>
      </c>
      <c r="N51" s="18" t="n">
        <v>157500</v>
      </c>
      <c r="O51" s="18" t="n">
        <v>393750</v>
      </c>
      <c r="P51" s="18" t="n">
        <v>275625</v>
      </c>
      <c r="Q51" s="100" t="inlineStr">
        <is>
          <t>Active</t>
        </is>
      </c>
      <c r="R51" s="100" t="n">
        <v>0.5</v>
      </c>
      <c r="U51" s="16">
        <f>IF(ISNUMBER(J51),IF(YEAR(J51)=YEAR(ValidationDate),"Q"&amp;ROUNDUP(MONTH(J51)/3,0),YEAR(J51)&amp;" Q"&amp;ROUNDUP(MONTH(J51)/3,0)),IFERROR("Q"&amp;ROUNDUP(MATCH(UPPER(TRIM(J51)),{"JAN","FEB","MAR","APR","MAY","JUN","JUL","AUG","SEP","OCT","NOV","DEC"},0)/3,0),""))</f>
        <v/>
      </c>
      <c r="V51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52">
      <c r="A52" s="16" t="n">
        <v>11</v>
      </c>
      <c r="B52" s="16" t="inlineStr">
        <is>
          <t>التميز والخدمات الحكومية</t>
        </is>
      </c>
      <c r="C52" s="16" t="inlineStr">
        <is>
          <t>التقييم والدراسات</t>
        </is>
      </c>
      <c r="D52" t="inlineStr">
        <is>
          <t>مشروع استراتيجي توضيحي 051</t>
        </is>
      </c>
      <c r="F52" s="16" t="inlineStr">
        <is>
          <t>H</t>
        </is>
      </c>
      <c r="G52" s="16" t="inlineStr">
        <is>
          <t>Strategic</t>
        </is>
      </c>
      <c r="H52" t="inlineStr">
        <is>
          <t>مدير توضيحي 1</t>
        </is>
      </c>
      <c r="I52" s="17" t="inlineStr">
        <is>
          <t>Jan</t>
        </is>
      </c>
      <c r="J52" s="17" t="inlineStr">
        <is>
          <t>Dec</t>
        </is>
      </c>
      <c r="K52" s="18" t="n">
        <v>720000</v>
      </c>
      <c r="L52" s="18" t="n">
        <v>800000</v>
      </c>
      <c r="M52" s="18" t="n">
        <v>640000</v>
      </c>
      <c r="N52" s="18" t="n">
        <v>160000</v>
      </c>
      <c r="O52" s="18" t="n">
        <v>160000</v>
      </c>
      <c r="P52" s="18" t="n">
        <v>280000</v>
      </c>
      <c r="Q52" s="100" t="inlineStr">
        <is>
          <t>Active</t>
        </is>
      </c>
      <c r="R52" s="100" t="n">
        <v>0.2</v>
      </c>
      <c r="U52" s="16">
        <f>IF(ISNUMBER(J52),IF(YEAR(J52)=YEAR(ValidationDate),"Q"&amp;ROUNDUP(MONTH(J52)/3,0),YEAR(J52)&amp;" Q"&amp;ROUNDUP(MONTH(J52)/3,0)),IFERROR("Q"&amp;ROUNDUP(MATCH(UPPER(TRIM(J52)),{"JAN","FEB","MAR","APR","MAY","JUN","JUL","AUG","SEP","OCT","NOV","DEC"},0)/3,0),""))</f>
        <v/>
      </c>
      <c r="V52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53">
      <c r="A53" s="16" t="n">
        <v>12</v>
      </c>
      <c r="B53" s="16" t="inlineStr">
        <is>
          <t>التميز والخدمات الحكومية</t>
        </is>
      </c>
      <c r="C53" s="16" t="inlineStr">
        <is>
          <t>التقييم والدراسات</t>
        </is>
      </c>
      <c r="D53" t="inlineStr">
        <is>
          <t>مشروع استراتيجي توضيحي 052</t>
        </is>
      </c>
      <c r="F53" s="16" t="inlineStr">
        <is>
          <t>H</t>
        </is>
      </c>
      <c r="G53" s="16" t="inlineStr">
        <is>
          <t>Strategic</t>
        </is>
      </c>
      <c r="H53" t="inlineStr">
        <is>
          <t>مدير توضيحي 2</t>
        </is>
      </c>
      <c r="I53" s="17" t="inlineStr">
        <is>
          <t>Jan</t>
        </is>
      </c>
      <c r="J53" s="17" t="inlineStr">
        <is>
          <t>Dec</t>
        </is>
      </c>
      <c r="K53" s="18" t="n">
        <v>731250</v>
      </c>
      <c r="L53" s="18" t="n">
        <v>812500</v>
      </c>
      <c r="M53" s="18" t="n">
        <v>650000</v>
      </c>
      <c r="N53" s="18" t="n">
        <v>162500</v>
      </c>
      <c r="O53" s="18" t="n">
        <v>0</v>
      </c>
      <c r="P53" s="18" t="n">
        <v>284375</v>
      </c>
      <c r="Q53" s="100" t="inlineStr">
        <is>
          <t>Not Started</t>
        </is>
      </c>
      <c r="R53" s="100" t="n">
        <v>0</v>
      </c>
      <c r="U53" s="16">
        <f>IF(ISNUMBER(J53),IF(YEAR(J53)=YEAR(ValidationDate),"Q"&amp;ROUNDUP(MONTH(J53)/3,0),YEAR(J53)&amp;" Q"&amp;ROUNDUP(MONTH(J53)/3,0)),IFERROR("Q"&amp;ROUNDUP(MATCH(UPPER(TRIM(J53)),{"JAN","FEB","MAR","APR","MAY","JUN","JUL","AUG","SEP","OCT","NOV","DEC"},0)/3,0),""))</f>
        <v/>
      </c>
      <c r="V53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54">
      <c r="A54" s="16" t="n">
        <v>13</v>
      </c>
      <c r="B54" s="16" t="inlineStr">
        <is>
          <t>التميز والخدمات الحكومية</t>
        </is>
      </c>
      <c r="C54" s="16" t="inlineStr">
        <is>
          <t>التقييم والدراسات</t>
        </is>
      </c>
      <c r="D54" t="inlineStr">
        <is>
          <t>مشروع استراتيجي توضيحي 053</t>
        </is>
      </c>
      <c r="F54" s="16" t="inlineStr">
        <is>
          <t>H</t>
        </is>
      </c>
      <c r="G54" s="16" t="inlineStr">
        <is>
          <t>Strategic</t>
        </is>
      </c>
      <c r="H54" t="inlineStr">
        <is>
          <t>مدير توضيحي 3</t>
        </is>
      </c>
      <c r="I54" s="17" t="inlineStr">
        <is>
          <t>Oct</t>
        </is>
      </c>
      <c r="J54" s="17" t="inlineStr">
        <is>
          <t>Dec</t>
        </is>
      </c>
      <c r="K54" s="18" t="n">
        <v>742500</v>
      </c>
      <c r="L54" s="18" t="n">
        <v>825000</v>
      </c>
      <c r="M54" s="18" t="n">
        <v>660000</v>
      </c>
      <c r="N54" s="18" t="n">
        <v>165000</v>
      </c>
      <c r="O54" s="18" t="n">
        <v>330000</v>
      </c>
      <c r="P54" s="18" t="n">
        <v>288750</v>
      </c>
      <c r="Q54" s="100" t="inlineStr">
        <is>
          <t>Active</t>
        </is>
      </c>
      <c r="R54" s="100" t="n">
        <v>0.4</v>
      </c>
      <c r="U54" s="16">
        <f>IF(ISNUMBER(J54),IF(YEAR(J54)=YEAR(ValidationDate),"Q"&amp;ROUNDUP(MONTH(J54)/3,0),YEAR(J54)&amp;" Q"&amp;ROUNDUP(MONTH(J54)/3,0)),IFERROR("Q"&amp;ROUNDUP(MATCH(UPPER(TRIM(J54)),{"JAN","FEB","MAR","APR","MAY","JUN","JUL","AUG","SEP","OCT","NOV","DEC"},0)/3,0),""))</f>
        <v/>
      </c>
      <c r="V54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55">
      <c r="A55" s="16" t="n">
        <v>14</v>
      </c>
      <c r="B55" s="16" t="inlineStr">
        <is>
          <t>التميز والخدمات الحكومية</t>
        </is>
      </c>
      <c r="C55" s="16" t="inlineStr">
        <is>
          <t>التقييم والدراسات</t>
        </is>
      </c>
      <c r="D55" t="inlineStr">
        <is>
          <t>مشروع استراتيجي توضيحي 054</t>
        </is>
      </c>
      <c r="F55" s="16" t="inlineStr">
        <is>
          <t>H</t>
        </is>
      </c>
      <c r="G55" s="16" t="inlineStr">
        <is>
          <t>Strategic</t>
        </is>
      </c>
      <c r="H55" t="inlineStr">
        <is>
          <t>مدير توضيحي 1</t>
        </is>
      </c>
      <c r="I55" s="17" t="inlineStr">
        <is>
          <t>Aug</t>
        </is>
      </c>
      <c r="J55" s="17" t="inlineStr">
        <is>
          <t>Dec</t>
        </is>
      </c>
      <c r="K55" s="18" t="n">
        <v>753750</v>
      </c>
      <c r="L55" s="18" t="n">
        <v>837500</v>
      </c>
      <c r="M55" s="18" t="n">
        <v>670000</v>
      </c>
      <c r="N55" s="18" t="n">
        <v>167500</v>
      </c>
      <c r="O55" s="18" t="n">
        <v>83750</v>
      </c>
      <c r="P55" s="18" t="n">
        <v>293125</v>
      </c>
      <c r="Q55" s="100" t="inlineStr">
        <is>
          <t>Active</t>
        </is>
      </c>
      <c r="R55" s="100" t="n">
        <v>0.1</v>
      </c>
      <c r="U55" s="16">
        <f>IF(ISNUMBER(J55),IF(YEAR(J55)=YEAR(ValidationDate),"Q"&amp;ROUNDUP(MONTH(J55)/3,0),YEAR(J55)&amp;" Q"&amp;ROUNDUP(MONTH(J55)/3,0)),IFERROR("Q"&amp;ROUNDUP(MATCH(UPPER(TRIM(J55)),{"JAN","FEB","MAR","APR","MAY","JUN","JUL","AUG","SEP","OCT","NOV","DEC"},0)/3,0),""))</f>
        <v/>
      </c>
      <c r="V55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56">
      <c r="A56" s="16" t="n">
        <v>15</v>
      </c>
      <c r="B56" s="16" t="inlineStr">
        <is>
          <t>التميز والخدمات الحكومية</t>
        </is>
      </c>
      <c r="C56" s="16" t="inlineStr">
        <is>
          <t>التقييم والدراسات</t>
        </is>
      </c>
      <c r="D56" t="inlineStr">
        <is>
          <t>مشروع استراتيجي توضيحي 055</t>
        </is>
      </c>
      <c r="F56" s="16" t="inlineStr">
        <is>
          <t>H</t>
        </is>
      </c>
      <c r="G56" s="16" t="inlineStr">
        <is>
          <t>Strategic</t>
        </is>
      </c>
      <c r="H56" t="inlineStr">
        <is>
          <t>مدير توضيحي 2</t>
        </is>
      </c>
      <c r="I56" s="17" t="inlineStr">
        <is>
          <t>Aug</t>
        </is>
      </c>
      <c r="J56" s="17" t="inlineStr">
        <is>
          <t>Dec</t>
        </is>
      </c>
      <c r="K56" s="18" t="n">
        <v>765000</v>
      </c>
      <c r="L56" s="18" t="n">
        <v>850000</v>
      </c>
      <c r="M56" s="18" t="n">
        <v>680000</v>
      </c>
      <c r="N56" s="18" t="n">
        <v>170000</v>
      </c>
      <c r="O56" s="18" t="n">
        <v>85000</v>
      </c>
      <c r="P56" s="18" t="n">
        <v>297500</v>
      </c>
      <c r="Q56" s="100" t="inlineStr">
        <is>
          <t>Active</t>
        </is>
      </c>
      <c r="R56" s="100" t="n">
        <v>0.1</v>
      </c>
      <c r="U56" s="16">
        <f>IF(ISNUMBER(J56),IF(YEAR(J56)=YEAR(ValidationDate),"Q"&amp;ROUNDUP(MONTH(J56)/3,0),YEAR(J56)&amp;" Q"&amp;ROUNDUP(MONTH(J56)/3,0)),IFERROR("Q"&amp;ROUNDUP(MATCH(UPPER(TRIM(J56)),{"JAN","FEB","MAR","APR","MAY","JUN","JUL","AUG","SEP","OCT","NOV","DEC"},0)/3,0),""))</f>
        <v/>
      </c>
      <c r="V56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57">
      <c r="A57" s="16" t="n">
        <v>16</v>
      </c>
      <c r="B57" s="16" t="inlineStr">
        <is>
          <t>التميز والخدمات الحكومية</t>
        </is>
      </c>
      <c r="C57" s="16" t="inlineStr">
        <is>
          <t>التقييم والدراسات</t>
        </is>
      </c>
      <c r="D57" t="inlineStr">
        <is>
          <t>مشروع استراتيجي توضيحي 056</t>
        </is>
      </c>
      <c r="F57" s="16" t="inlineStr">
        <is>
          <t>H</t>
        </is>
      </c>
      <c r="G57" s="16" t="inlineStr">
        <is>
          <t>Strategic</t>
        </is>
      </c>
      <c r="H57" t="inlineStr">
        <is>
          <t>مدير توضيحي 3</t>
        </is>
      </c>
      <c r="I57" s="17" t="inlineStr">
        <is>
          <t>Jan</t>
        </is>
      </c>
      <c r="J57" s="17" t="inlineStr">
        <is>
          <t>Dec</t>
        </is>
      </c>
      <c r="K57" s="18" t="n">
        <v>776250</v>
      </c>
      <c r="L57" s="18" t="n">
        <v>862500</v>
      </c>
      <c r="M57" s="18" t="n">
        <v>690000</v>
      </c>
      <c r="N57" s="18" t="n">
        <v>172500</v>
      </c>
      <c r="O57" s="18" t="n">
        <v>345000</v>
      </c>
      <c r="P57" s="18" t="n">
        <v>301875</v>
      </c>
      <c r="Q57" s="100" t="inlineStr">
        <is>
          <t>Active</t>
        </is>
      </c>
      <c r="R57" s="100" t="n">
        <v>0.4</v>
      </c>
      <c r="U57" s="16">
        <f>IF(ISNUMBER(J57),IF(YEAR(J57)=YEAR(ValidationDate),"Q"&amp;ROUNDUP(MONTH(J57)/3,0),YEAR(J57)&amp;" Q"&amp;ROUNDUP(MONTH(J57)/3,0)),IFERROR("Q"&amp;ROUNDUP(MATCH(UPPER(TRIM(J57)),{"JAN","FEB","MAR","APR","MAY","JUN","JUL","AUG","SEP","OCT","NOV","DEC"},0)/3,0),""))</f>
        <v/>
      </c>
      <c r="V57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58">
      <c r="A58" s="16" t="n">
        <v>17</v>
      </c>
      <c r="B58" s="16" t="inlineStr">
        <is>
          <t>التميز والخدمات الحكومية</t>
        </is>
      </c>
      <c r="C58" s="16" t="inlineStr">
        <is>
          <t>التقييم والدراسات</t>
        </is>
      </c>
      <c r="D58" t="inlineStr">
        <is>
          <t>مشروع استراتيجي توضيحي 057</t>
        </is>
      </c>
      <c r="F58" s="16" t="inlineStr">
        <is>
          <t>H</t>
        </is>
      </c>
      <c r="G58" s="16" t="inlineStr">
        <is>
          <t>Strategic</t>
        </is>
      </c>
      <c r="H58" t="inlineStr">
        <is>
          <t>مدير توضيحي 1</t>
        </is>
      </c>
      <c r="I58" s="17" t="inlineStr">
        <is>
          <t>Mar</t>
        </is>
      </c>
      <c r="J58" s="17" t="inlineStr">
        <is>
          <t>Dec</t>
        </is>
      </c>
      <c r="K58" s="18" t="n">
        <v>787500</v>
      </c>
      <c r="L58" s="18" t="n">
        <v>875000</v>
      </c>
      <c r="M58" s="18" t="n">
        <v>700000</v>
      </c>
      <c r="N58" s="18" t="n">
        <v>175000</v>
      </c>
      <c r="O58" s="18" t="n">
        <v>525000</v>
      </c>
      <c r="P58" s="18" t="n">
        <v>306250</v>
      </c>
      <c r="Q58" s="100" t="inlineStr">
        <is>
          <t>Active</t>
        </is>
      </c>
      <c r="R58" s="100" t="n">
        <v>0.6</v>
      </c>
      <c r="U58" s="16">
        <f>IF(ISNUMBER(J58),IF(YEAR(J58)=YEAR(ValidationDate),"Q"&amp;ROUNDUP(MONTH(J58)/3,0),YEAR(J58)&amp;" Q"&amp;ROUNDUP(MONTH(J58)/3,0)),IFERROR("Q"&amp;ROUNDUP(MATCH(UPPER(TRIM(J58)),{"JAN","FEB","MAR","APR","MAY","JUN","JUL","AUG","SEP","OCT","NOV","DEC"},0)/3,0),""))</f>
        <v/>
      </c>
      <c r="V58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59">
      <c r="A59" s="16" t="n">
        <v>18</v>
      </c>
      <c r="B59" s="16" t="inlineStr">
        <is>
          <t>التميز والخدمات الحكومية</t>
        </is>
      </c>
      <c r="C59" s="16" t="inlineStr">
        <is>
          <t>التقييم والدراسات</t>
        </is>
      </c>
      <c r="D59" t="inlineStr">
        <is>
          <t>مشروع استراتيجي توضيحي 058</t>
        </is>
      </c>
      <c r="F59" s="16" t="inlineStr">
        <is>
          <t>H</t>
        </is>
      </c>
      <c r="G59" s="16" t="inlineStr">
        <is>
          <t>Strategic</t>
        </is>
      </c>
      <c r="H59" t="inlineStr">
        <is>
          <t>مدير توضيحي 2</t>
        </is>
      </c>
      <c r="I59" s="17" t="inlineStr">
        <is>
          <t>Sept</t>
        </is>
      </c>
      <c r="J59" s="17" t="inlineStr">
        <is>
          <t>Dec</t>
        </is>
      </c>
      <c r="K59" s="18" t="n">
        <v>798750</v>
      </c>
      <c r="L59" s="18" t="n">
        <v>887500</v>
      </c>
      <c r="M59" s="18" t="n">
        <v>710000</v>
      </c>
      <c r="N59" s="18" t="n">
        <v>177500</v>
      </c>
      <c r="O59" s="18" t="n">
        <v>88750</v>
      </c>
      <c r="P59" s="18" t="n">
        <v>310625</v>
      </c>
      <c r="Q59" s="100" t="inlineStr">
        <is>
          <t>Active</t>
        </is>
      </c>
      <c r="R59" s="100" t="n">
        <v>0.1</v>
      </c>
      <c r="U59" s="16">
        <f>IF(ISNUMBER(J59),IF(YEAR(J59)=YEAR(ValidationDate),"Q"&amp;ROUNDUP(MONTH(J59)/3,0),YEAR(J59)&amp;" Q"&amp;ROUNDUP(MONTH(J59)/3,0)),IFERROR("Q"&amp;ROUNDUP(MATCH(UPPER(TRIM(J59)),{"JAN","FEB","MAR","APR","MAY","JUN","JUL","AUG","SEP","OCT","NOV","DEC"},0)/3,0),""))</f>
        <v/>
      </c>
      <c r="V59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60">
      <c r="A60" s="16" t="n">
        <v>19</v>
      </c>
      <c r="B60" s="16" t="inlineStr">
        <is>
          <t>التميز والخدمات الحكومية</t>
        </is>
      </c>
      <c r="C60" s="16" t="inlineStr">
        <is>
          <t>التقييم والدراسات</t>
        </is>
      </c>
      <c r="D60" t="inlineStr">
        <is>
          <t>مشروع استراتيجي توضيحي 059</t>
        </is>
      </c>
      <c r="F60" s="16" t="inlineStr">
        <is>
          <t>H</t>
        </is>
      </c>
      <c r="G60" s="16" t="inlineStr">
        <is>
          <t>Strategic</t>
        </is>
      </c>
      <c r="H60" t="inlineStr">
        <is>
          <t>مدير توضيحي 3</t>
        </is>
      </c>
      <c r="I60" s="17" t="inlineStr">
        <is>
          <t>Aug</t>
        </is>
      </c>
      <c r="J60" s="17" t="inlineStr">
        <is>
          <t>Dec</t>
        </is>
      </c>
      <c r="K60" s="18" t="n">
        <v>810000</v>
      </c>
      <c r="L60" s="18" t="n">
        <v>900000</v>
      </c>
      <c r="M60" s="18" t="n">
        <v>720000</v>
      </c>
      <c r="N60" s="18" t="n">
        <v>180000</v>
      </c>
      <c r="O60" s="18" t="n">
        <v>495000.0000000001</v>
      </c>
      <c r="P60" s="18" t="n">
        <v>315000</v>
      </c>
      <c r="Q60" s="100" t="inlineStr">
        <is>
          <t>Active</t>
        </is>
      </c>
      <c r="R60" s="100" t="n">
        <v>0.55</v>
      </c>
      <c r="U60" s="16">
        <f>IF(ISNUMBER(J60),IF(YEAR(J60)=YEAR(ValidationDate),"Q"&amp;ROUNDUP(MONTH(J60)/3,0),YEAR(J60)&amp;" Q"&amp;ROUNDUP(MONTH(J60)/3,0)),IFERROR("Q"&amp;ROUNDUP(MATCH(UPPER(TRIM(J60)),{"JAN","FEB","MAR","APR","MAY","JUN","JUL","AUG","SEP","OCT","NOV","DEC"},0)/3,0),""))</f>
        <v/>
      </c>
      <c r="V60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61">
      <c r="A61" s="16" t="n">
        <v>22</v>
      </c>
      <c r="B61" s="16" t="inlineStr">
        <is>
          <t>التميز والخدمات الحكومية</t>
        </is>
      </c>
      <c r="C61" s="16" t="inlineStr">
        <is>
          <t>التقييم والدراسات</t>
        </is>
      </c>
      <c r="D61" t="inlineStr">
        <is>
          <t>مشروع استراتيجي توضيحي 060</t>
        </is>
      </c>
      <c r="F61" s="16" t="inlineStr">
        <is>
          <t>M</t>
        </is>
      </c>
      <c r="G61" s="16" t="inlineStr">
        <is>
          <t>Strategic</t>
        </is>
      </c>
      <c r="H61" t="inlineStr">
        <is>
          <t>مدير توضيحي 1</t>
        </is>
      </c>
      <c r="I61" s="17" t="inlineStr">
        <is>
          <t>Jan</t>
        </is>
      </c>
      <c r="J61" s="17" t="inlineStr">
        <is>
          <t>Jun</t>
        </is>
      </c>
      <c r="K61" s="18" t="n">
        <v>821250</v>
      </c>
      <c r="L61" s="18" t="n">
        <v>912500</v>
      </c>
      <c r="M61" s="18" t="n">
        <v>730000</v>
      </c>
      <c r="N61" s="18" t="n">
        <v>182500</v>
      </c>
      <c r="O61" s="18" t="n">
        <v>912500</v>
      </c>
      <c r="P61" s="18" t="n">
        <v>319375</v>
      </c>
      <c r="Q61" s="100" t="inlineStr">
        <is>
          <t>Completed</t>
        </is>
      </c>
      <c r="R61" s="100" t="n">
        <v>1</v>
      </c>
      <c r="U61" s="16">
        <f>IF(ISNUMBER(J61),IF(YEAR(J61)=YEAR(ValidationDate),"Q"&amp;ROUNDUP(MONTH(J61)/3,0),YEAR(J61)&amp;" Q"&amp;ROUNDUP(MONTH(J61)/3,0)),IFERROR("Q"&amp;ROUNDUP(MATCH(UPPER(TRIM(J61)),{"JAN","FEB","MAR","APR","MAY","JUN","JUL","AUG","SEP","OCT","NOV","DEC"},0)/3,0),""))</f>
        <v/>
      </c>
      <c r="V61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62">
      <c r="A62" s="16" t="n">
        <v>23</v>
      </c>
      <c r="B62" s="16" t="inlineStr">
        <is>
          <t>التميز والخدمات الحكومية</t>
        </is>
      </c>
      <c r="C62" s="16" t="inlineStr">
        <is>
          <t>التميز والخدمات الحكومية</t>
        </is>
      </c>
      <c r="D62" t="inlineStr">
        <is>
          <t>مشروع استراتيجي توضيحي 061</t>
        </is>
      </c>
      <c r="F62" s="16" t="inlineStr">
        <is>
          <t>H</t>
        </is>
      </c>
      <c r="G62" s="16" t="inlineStr">
        <is>
          <t>Strategic</t>
        </is>
      </c>
      <c r="H62" t="inlineStr">
        <is>
          <t>مدير توضيحي 2</t>
        </is>
      </c>
      <c r="I62" s="17" t="inlineStr">
        <is>
          <t>Jan</t>
        </is>
      </c>
      <c r="J62" s="17" t="inlineStr">
        <is>
          <t>Dec</t>
        </is>
      </c>
      <c r="K62" s="18" t="n">
        <v>832500</v>
      </c>
      <c r="L62" s="18" t="n">
        <v>925000</v>
      </c>
      <c r="M62" s="18" t="n">
        <v>740000</v>
      </c>
      <c r="N62" s="18" t="n">
        <v>185000</v>
      </c>
      <c r="O62" s="18" t="n">
        <v>832500</v>
      </c>
      <c r="P62" s="18" t="n">
        <v>323750</v>
      </c>
      <c r="Q62" s="100" t="inlineStr">
        <is>
          <t>Active</t>
        </is>
      </c>
      <c r="R62" s="100" t="n">
        <v>0.9</v>
      </c>
      <c r="U62" s="16">
        <f>IF(ISNUMBER(J62),IF(YEAR(J62)=YEAR(ValidationDate),"Q"&amp;ROUNDUP(MONTH(J62)/3,0),YEAR(J62)&amp;" Q"&amp;ROUNDUP(MONTH(J62)/3,0)),IFERROR("Q"&amp;ROUNDUP(MATCH(UPPER(TRIM(J62)),{"JAN","FEB","MAR","APR","MAY","JUN","JUL","AUG","SEP","OCT","NOV","DEC"},0)/3,0),""))</f>
        <v/>
      </c>
      <c r="V62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63">
      <c r="A63" s="16" t="n">
        <v>24</v>
      </c>
      <c r="B63" s="16" t="inlineStr">
        <is>
          <t>التميز والخدمات الحكومية</t>
        </is>
      </c>
      <c r="C63" s="16" t="inlineStr">
        <is>
          <t>التميز والخدمات الحكومية</t>
        </is>
      </c>
      <c r="D63" t="inlineStr">
        <is>
          <t>مشروع استراتيجي توضيحي 062</t>
        </is>
      </c>
      <c r="F63" s="16" t="inlineStr">
        <is>
          <t>H</t>
        </is>
      </c>
      <c r="G63" s="16" t="inlineStr">
        <is>
          <t>Strategic</t>
        </is>
      </c>
      <c r="H63" t="inlineStr">
        <is>
          <t>مدير توضيحي 3</t>
        </is>
      </c>
      <c r="I63" s="17" t="inlineStr">
        <is>
          <t>Jan</t>
        </is>
      </c>
      <c r="J63" s="17" t="inlineStr">
        <is>
          <t>Dec</t>
        </is>
      </c>
      <c r="K63" s="18" t="n">
        <v>843750</v>
      </c>
      <c r="L63" s="18" t="n">
        <v>937500</v>
      </c>
      <c r="M63" s="18" t="n">
        <v>750000</v>
      </c>
      <c r="N63" s="18" t="n">
        <v>187500</v>
      </c>
      <c r="O63" s="18" t="n">
        <v>375000</v>
      </c>
      <c r="P63" s="18" t="n">
        <v>328125</v>
      </c>
      <c r="Q63" s="100" t="inlineStr">
        <is>
          <t>Active</t>
        </is>
      </c>
      <c r="R63" s="100" t="n">
        <v>0.4</v>
      </c>
      <c r="U63" s="16">
        <f>IF(ISNUMBER(J63),IF(YEAR(J63)=YEAR(ValidationDate),"Q"&amp;ROUNDUP(MONTH(J63)/3,0),YEAR(J63)&amp;" Q"&amp;ROUNDUP(MONTH(J63)/3,0)),IFERROR("Q"&amp;ROUNDUP(MATCH(UPPER(TRIM(J63)),{"JAN","FEB","MAR","APR","MAY","JUN","JUL","AUG","SEP","OCT","NOV","DEC"},0)/3,0),""))</f>
        <v/>
      </c>
      <c r="V63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64">
      <c r="A64" s="16" t="n">
        <v>25</v>
      </c>
      <c r="B64" s="16" t="inlineStr">
        <is>
          <t>التميز والخدمات الحكومية</t>
        </is>
      </c>
      <c r="C64" s="16" t="inlineStr">
        <is>
          <t>التميز والخدمات الحكومية</t>
        </is>
      </c>
      <c r="D64" t="inlineStr">
        <is>
          <t>مشروع استراتيجي توضيحي 063</t>
        </is>
      </c>
      <c r="F64" s="16" t="inlineStr">
        <is>
          <t>H</t>
        </is>
      </c>
      <c r="G64" s="16" t="inlineStr">
        <is>
          <t>Strategic</t>
        </is>
      </c>
      <c r="H64" t="inlineStr">
        <is>
          <t>مدير توضيحي 1</t>
        </is>
      </c>
      <c r="I64" s="17" t="inlineStr">
        <is>
          <t>Jan</t>
        </is>
      </c>
      <c r="J64" s="17" t="inlineStr">
        <is>
          <t>Dec</t>
        </is>
      </c>
      <c r="K64" s="18" t="n">
        <v>855000</v>
      </c>
      <c r="L64" s="18" t="n">
        <v>950000</v>
      </c>
      <c r="M64" s="18" t="n">
        <v>760000</v>
      </c>
      <c r="N64" s="18" t="n">
        <v>190000</v>
      </c>
      <c r="O64" s="18" t="n">
        <v>665000</v>
      </c>
      <c r="P64" s="18" t="n">
        <v>332500</v>
      </c>
      <c r="Q64" s="100" t="inlineStr">
        <is>
          <t>Active</t>
        </is>
      </c>
      <c r="R64" s="100" t="n">
        <v>0.7</v>
      </c>
      <c r="U64" s="16">
        <f>IF(ISNUMBER(J64),IF(YEAR(J64)=YEAR(ValidationDate),"Q"&amp;ROUNDUP(MONTH(J64)/3,0),YEAR(J64)&amp;" Q"&amp;ROUNDUP(MONTH(J64)/3,0)),IFERROR("Q"&amp;ROUNDUP(MATCH(UPPER(TRIM(J64)),{"JAN","FEB","MAR","APR","MAY","JUN","JUL","AUG","SEP","OCT","NOV","DEC"},0)/3,0),""))</f>
        <v/>
      </c>
      <c r="V64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65">
      <c r="A65" s="16" t="n">
        <v>26</v>
      </c>
      <c r="B65" s="16" t="inlineStr">
        <is>
          <t>التميز والخدمات الحكومية</t>
        </is>
      </c>
      <c r="C65" s="16" t="inlineStr">
        <is>
          <t>التميز والخدمات الحكومية</t>
        </is>
      </c>
      <c r="D65" t="inlineStr">
        <is>
          <t>مشروع استراتيجي توضيحي 064</t>
        </is>
      </c>
      <c r="F65" s="16" t="inlineStr">
        <is>
          <t>H</t>
        </is>
      </c>
      <c r="G65" s="16" t="inlineStr">
        <is>
          <t>Strategic</t>
        </is>
      </c>
      <c r="H65" t="inlineStr">
        <is>
          <t>مدير توضيحي 2</t>
        </is>
      </c>
      <c r="I65" s="17" t="inlineStr">
        <is>
          <t>Aug</t>
        </is>
      </c>
      <c r="J65" s="17" t="inlineStr">
        <is>
          <t>Dec</t>
        </is>
      </c>
      <c r="K65" s="18" t="n">
        <v>866250</v>
      </c>
      <c r="L65" s="18" t="n">
        <v>962500</v>
      </c>
      <c r="M65" s="18" t="n">
        <v>770000</v>
      </c>
      <c r="N65" s="18" t="n">
        <v>192500</v>
      </c>
      <c r="O65" s="18" t="n">
        <v>481250</v>
      </c>
      <c r="P65" s="18" t="n">
        <v>336875</v>
      </c>
      <c r="Q65" s="100" t="inlineStr">
        <is>
          <t>Active</t>
        </is>
      </c>
      <c r="R65" s="100" t="n">
        <v>0.5</v>
      </c>
      <c r="U65" s="16">
        <f>IF(ISNUMBER(J65),IF(YEAR(J65)=YEAR(ValidationDate),"Q"&amp;ROUNDUP(MONTH(J65)/3,0),YEAR(J65)&amp;" Q"&amp;ROUNDUP(MONTH(J65)/3,0)),IFERROR("Q"&amp;ROUNDUP(MATCH(UPPER(TRIM(J65)),{"JAN","FEB","MAR","APR","MAY","JUN","JUL","AUG","SEP","OCT","NOV","DEC"},0)/3,0),""))</f>
        <v/>
      </c>
      <c r="V65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66">
      <c r="A66" s="16" t="n">
        <v>27</v>
      </c>
      <c r="B66" s="16" t="inlineStr">
        <is>
          <t>التميز والخدمات الحكومية</t>
        </is>
      </c>
      <c r="C66" s="16" t="inlineStr">
        <is>
          <t>التميز والخدمات الحكومية</t>
        </is>
      </c>
      <c r="D66" t="inlineStr">
        <is>
          <t>مشروع استراتيجي توضيحي 065</t>
        </is>
      </c>
      <c r="F66" s="16" t="inlineStr">
        <is>
          <t>H</t>
        </is>
      </c>
      <c r="G66" s="16" t="inlineStr">
        <is>
          <t>Strategic</t>
        </is>
      </c>
      <c r="H66" t="inlineStr">
        <is>
          <t>مدير توضيحي 3</t>
        </is>
      </c>
      <c r="I66" s="17" t="inlineStr">
        <is>
          <t>Jan</t>
        </is>
      </c>
      <c r="J66" s="17" t="inlineStr">
        <is>
          <t>Dec</t>
        </is>
      </c>
      <c r="K66" s="18" t="n">
        <v>877500</v>
      </c>
      <c r="L66" s="18" t="n">
        <v>975000</v>
      </c>
      <c r="M66" s="18" t="n">
        <v>780000</v>
      </c>
      <c r="N66" s="18" t="n">
        <v>195000</v>
      </c>
      <c r="O66" s="18" t="n">
        <v>682500</v>
      </c>
      <c r="P66" s="18" t="n">
        <v>341250</v>
      </c>
      <c r="Q66" s="100" t="inlineStr">
        <is>
          <t>Active</t>
        </is>
      </c>
      <c r="R66" s="100" t="n">
        <v>0.7</v>
      </c>
      <c r="U66" s="16">
        <f>IF(ISNUMBER(J66),IF(YEAR(J66)=YEAR(ValidationDate),"Q"&amp;ROUNDUP(MONTH(J66)/3,0),YEAR(J66)&amp;" Q"&amp;ROUNDUP(MONTH(J66)/3,0)),IFERROR("Q"&amp;ROUNDUP(MATCH(UPPER(TRIM(J66)),{"JAN","FEB","MAR","APR","MAY","JUN","JUL","AUG","SEP","OCT","NOV","DEC"},0)/3,0),""))</f>
        <v/>
      </c>
      <c r="V66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67">
      <c r="A67" s="16" t="n">
        <v>28</v>
      </c>
      <c r="B67" s="16" t="inlineStr">
        <is>
          <t>التميز والخدمات الحكومية</t>
        </is>
      </c>
      <c r="C67" s="16" t="inlineStr">
        <is>
          <t>التميز والخدمات الحكومية</t>
        </is>
      </c>
      <c r="D67" t="inlineStr">
        <is>
          <t>مشروع استراتيجي توضيحي 066</t>
        </is>
      </c>
      <c r="F67" s="16" t="inlineStr">
        <is>
          <t>H</t>
        </is>
      </c>
      <c r="G67" s="16" t="inlineStr">
        <is>
          <t>Strategic</t>
        </is>
      </c>
      <c r="H67" t="inlineStr">
        <is>
          <t>مدير توضيحي 1</t>
        </is>
      </c>
      <c r="I67" s="17" t="inlineStr">
        <is>
          <t>Sept</t>
        </is>
      </c>
      <c r="J67" s="17" t="inlineStr">
        <is>
          <t>Dec</t>
        </is>
      </c>
      <c r="K67" s="18" t="n">
        <v>888750</v>
      </c>
      <c r="L67" s="18" t="n">
        <v>987500</v>
      </c>
      <c r="M67" s="18" t="n">
        <v>790000</v>
      </c>
      <c r="N67" s="18" t="n">
        <v>197500</v>
      </c>
      <c r="O67" s="18" t="n">
        <v>345625</v>
      </c>
      <c r="P67" s="18" t="n">
        <v>345625</v>
      </c>
      <c r="Q67" s="100" t="inlineStr">
        <is>
          <t>Active</t>
        </is>
      </c>
      <c r="R67" s="100" t="n">
        <v>0.35</v>
      </c>
      <c r="U67" s="16">
        <f>IF(ISNUMBER(J67),IF(YEAR(J67)=YEAR(ValidationDate),"Q"&amp;ROUNDUP(MONTH(J67)/3,0),YEAR(J67)&amp;" Q"&amp;ROUNDUP(MONTH(J67)/3,0)),IFERROR("Q"&amp;ROUNDUP(MATCH(UPPER(TRIM(J67)),{"JAN","FEB","MAR","APR","MAY","JUN","JUL","AUG","SEP","OCT","NOV","DEC"},0)/3,0),""))</f>
        <v/>
      </c>
      <c r="V67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68">
      <c r="A68" s="16" t="n">
        <v>29</v>
      </c>
      <c r="B68" s="16" t="inlineStr">
        <is>
          <t>التميز والخدمات الحكومية</t>
        </is>
      </c>
      <c r="C68" s="16" t="inlineStr">
        <is>
          <t>التميز والخدمات الحكومية</t>
        </is>
      </c>
      <c r="D68" t="inlineStr">
        <is>
          <t>مشروع استراتيجي توضيحي 067</t>
        </is>
      </c>
      <c r="F68" s="16" t="inlineStr">
        <is>
          <t>H</t>
        </is>
      </c>
      <c r="G68" s="16" t="inlineStr">
        <is>
          <t>Strategic</t>
        </is>
      </c>
      <c r="H68" t="inlineStr">
        <is>
          <t>مدير توضيحي 2</t>
        </is>
      </c>
      <c r="I68" s="17" t="inlineStr">
        <is>
          <t>Aug</t>
        </is>
      </c>
      <c r="J68" s="17" t="inlineStr">
        <is>
          <t>Dec</t>
        </is>
      </c>
      <c r="K68" s="18" t="n">
        <v>900000</v>
      </c>
      <c r="L68" s="18" t="n">
        <v>1000000</v>
      </c>
      <c r="M68" s="18" t="n">
        <v>800000</v>
      </c>
      <c r="N68" s="18" t="n">
        <v>200000</v>
      </c>
      <c r="O68" s="18" t="n">
        <v>350000</v>
      </c>
      <c r="P68" s="18" t="n">
        <v>350000</v>
      </c>
      <c r="Q68" s="100" t="inlineStr">
        <is>
          <t>Active</t>
        </is>
      </c>
      <c r="R68" s="100" t="n">
        <v>0.35</v>
      </c>
      <c r="U68" s="16">
        <f>IF(ISNUMBER(J68),IF(YEAR(J68)=YEAR(ValidationDate),"Q"&amp;ROUNDUP(MONTH(J68)/3,0),YEAR(J68)&amp;" Q"&amp;ROUNDUP(MONTH(J68)/3,0)),IFERROR("Q"&amp;ROUNDUP(MATCH(UPPER(TRIM(J68)),{"JAN","FEB","MAR","APR","MAY","JUN","JUL","AUG","SEP","OCT","NOV","DEC"},0)/3,0),""))</f>
        <v/>
      </c>
      <c r="V68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69">
      <c r="A69" s="16" t="n">
        <v>30</v>
      </c>
      <c r="B69" s="16" t="inlineStr">
        <is>
          <t>التميز والخدمات الحكومية</t>
        </is>
      </c>
      <c r="C69" s="16" t="inlineStr">
        <is>
          <t>التميز والخدمات الحكومية</t>
        </is>
      </c>
      <c r="D69" t="inlineStr">
        <is>
          <t>مشروع استراتيجي توضيحي 068</t>
        </is>
      </c>
      <c r="F69" s="16" t="inlineStr">
        <is>
          <t>H</t>
        </is>
      </c>
      <c r="G69" s="16" t="inlineStr">
        <is>
          <t>Strategic</t>
        </is>
      </c>
      <c r="H69" t="inlineStr">
        <is>
          <t>مدير توضيحي 3</t>
        </is>
      </c>
      <c r="I69" s="17" t="inlineStr">
        <is>
          <t>Jul</t>
        </is>
      </c>
      <c r="J69" s="17" t="inlineStr">
        <is>
          <t>Oct</t>
        </is>
      </c>
      <c r="K69" s="18" t="n">
        <v>911250</v>
      </c>
      <c r="L69" s="18" t="n">
        <v>1012500</v>
      </c>
      <c r="M69" s="18" t="n">
        <v>810000</v>
      </c>
      <c r="N69" s="18" t="n">
        <v>202500</v>
      </c>
      <c r="O69" s="18" t="n">
        <v>759375</v>
      </c>
      <c r="P69" s="18" t="n">
        <v>354375</v>
      </c>
      <c r="Q69" s="100" t="inlineStr">
        <is>
          <t>Active</t>
        </is>
      </c>
      <c r="R69" s="100" t="n">
        <v>0.75</v>
      </c>
      <c r="U69" s="16">
        <f>IF(ISNUMBER(J69),IF(YEAR(J69)=YEAR(ValidationDate),"Q"&amp;ROUNDUP(MONTH(J69)/3,0),YEAR(J69)&amp;" Q"&amp;ROUNDUP(MONTH(J69)/3,0)),IFERROR("Q"&amp;ROUNDUP(MATCH(UPPER(TRIM(J69)),{"JAN","FEB","MAR","APR","MAY","JUN","JUL","AUG","SEP","OCT","NOV","DEC"},0)/3,0),""))</f>
        <v/>
      </c>
      <c r="V69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70">
      <c r="A70" s="16" t="n">
        <v>20</v>
      </c>
      <c r="B70" s="16" t="inlineStr">
        <is>
          <t>التميز والخدمات الحكومية</t>
        </is>
      </c>
      <c r="C70" s="16" t="n"/>
      <c r="D70" t="inlineStr">
        <is>
          <t>مشروع استراتيجي توضيحي 069</t>
        </is>
      </c>
      <c r="F70" s="16" t="inlineStr">
        <is>
          <t>H</t>
        </is>
      </c>
      <c r="G70" s="16" t="inlineStr">
        <is>
          <t>Strategic</t>
        </is>
      </c>
      <c r="H70" t="inlineStr">
        <is>
          <t>مدير توضيحي 1</t>
        </is>
      </c>
      <c r="I70" s="17" t="inlineStr">
        <is>
          <t>Jan</t>
        </is>
      </c>
      <c r="J70" s="17" t="inlineStr">
        <is>
          <t>Dec</t>
        </is>
      </c>
      <c r="K70" s="18" t="n">
        <v>922500</v>
      </c>
      <c r="L70" s="18" t="n">
        <v>1025000</v>
      </c>
      <c r="M70" s="18" t="n">
        <v>820000</v>
      </c>
      <c r="N70" s="18" t="n">
        <v>205000</v>
      </c>
      <c r="O70" s="18" t="n">
        <v>666250</v>
      </c>
      <c r="P70" s="18" t="n">
        <v>358750</v>
      </c>
      <c r="Q70" s="100" t="inlineStr">
        <is>
          <t>Active</t>
        </is>
      </c>
      <c r="R70" s="100" t="n">
        <v>0.65</v>
      </c>
      <c r="U70" s="16">
        <f>IF(ISNUMBER(J70),IF(YEAR(J70)=YEAR(ValidationDate),"Q"&amp;ROUNDUP(MONTH(J70)/3,0),YEAR(J70)&amp;" Q"&amp;ROUNDUP(MONTH(J70)/3,0)),IFERROR("Q"&amp;ROUNDUP(MATCH(UPPER(TRIM(J70)),{"JAN","FEB","MAR","APR","MAY","JUN","JUL","AUG","SEP","OCT","NOV","DEC"},0)/3,0),""))</f>
        <v/>
      </c>
      <c r="V70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71">
      <c r="A71" s="16" t="n">
        <v>21</v>
      </c>
      <c r="B71" s="16" t="inlineStr">
        <is>
          <t>التميز والخدمات الحكومية</t>
        </is>
      </c>
      <c r="C71" s="16" t="n"/>
      <c r="D71" t="inlineStr">
        <is>
          <t>مشروع استراتيجي توضيحي 070</t>
        </is>
      </c>
      <c r="F71" s="16" t="inlineStr">
        <is>
          <t>H</t>
        </is>
      </c>
      <c r="G71" s="16" t="inlineStr">
        <is>
          <t>Strategic</t>
        </is>
      </c>
      <c r="H71" t="inlineStr">
        <is>
          <t>مدير توضيحي 2</t>
        </is>
      </c>
      <c r="I71" s="17" t="inlineStr">
        <is>
          <t>Jan</t>
        </is>
      </c>
      <c r="J71" s="17" t="inlineStr">
        <is>
          <t>Dec</t>
        </is>
      </c>
      <c r="K71" s="18" t="n">
        <v>933750</v>
      </c>
      <c r="L71" s="18" t="n">
        <v>1037500</v>
      </c>
      <c r="M71" s="18" t="n">
        <v>830000</v>
      </c>
      <c r="N71" s="18" t="n">
        <v>207500</v>
      </c>
      <c r="O71" s="18" t="n">
        <v>207500</v>
      </c>
      <c r="P71" s="18" t="n">
        <v>363125</v>
      </c>
      <c r="Q71" s="100" t="inlineStr">
        <is>
          <t>Active</t>
        </is>
      </c>
      <c r="R71" s="100" t="n">
        <v>0.2</v>
      </c>
      <c r="U71" s="16">
        <f>IF(ISNUMBER(J71),IF(YEAR(J71)=YEAR(ValidationDate),"Q"&amp;ROUNDUP(MONTH(J71)/3,0),YEAR(J71)&amp;" Q"&amp;ROUNDUP(MONTH(J71)/3,0)),IFERROR("Q"&amp;ROUNDUP(MATCH(UPPER(TRIM(J71)),{"JAN","FEB","MAR","APR","MAY","JUN","JUL","AUG","SEP","OCT","NOV","DEC"},0)/3,0),""))</f>
        <v/>
      </c>
      <c r="V71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72">
      <c r="A72" s="16" t="n">
        <v>31</v>
      </c>
      <c r="B72" s="16" t="inlineStr">
        <is>
          <t>التميز والخدمات الحكومية</t>
        </is>
      </c>
      <c r="C72" s="16" t="n"/>
      <c r="D72" t="inlineStr">
        <is>
          <t>مشروع استراتيجي توضيحي 071</t>
        </is>
      </c>
      <c r="F72" s="16" t="inlineStr">
        <is>
          <t>M</t>
        </is>
      </c>
      <c r="G72" s="16" t="inlineStr">
        <is>
          <t>Operational</t>
        </is>
      </c>
      <c r="H72" t="inlineStr">
        <is>
          <t>مدير توضيحي 3</t>
        </is>
      </c>
      <c r="I72" s="17" t="inlineStr">
        <is>
          <t>Jan</t>
        </is>
      </c>
      <c r="J72" s="17" t="inlineStr">
        <is>
          <t>Dec</t>
        </is>
      </c>
      <c r="K72" s="18" t="n">
        <v>945000</v>
      </c>
      <c r="L72" s="18" t="n">
        <v>1050000</v>
      </c>
      <c r="M72" s="18" t="n">
        <v>840000</v>
      </c>
      <c r="N72" s="18" t="n">
        <v>210000</v>
      </c>
      <c r="O72" s="18" t="n">
        <v>315000</v>
      </c>
      <c r="P72" s="18" t="n">
        <v>367500</v>
      </c>
      <c r="Q72" s="100" t="inlineStr">
        <is>
          <t>Active</t>
        </is>
      </c>
      <c r="R72" s="100" t="n">
        <v>0.3</v>
      </c>
      <c r="U72" s="16">
        <f>IF(ISNUMBER(J72),IF(YEAR(J72)=YEAR(ValidationDate),"Q"&amp;ROUNDUP(MONTH(J72)/3,0),YEAR(J72)&amp;" Q"&amp;ROUNDUP(MONTH(J72)/3,0)),IFERROR("Q"&amp;ROUNDUP(MATCH(UPPER(TRIM(J72)),{"JAN","FEB","MAR","APR","MAY","JUN","JUL","AUG","SEP","OCT","NOV","DEC"},0)/3,0),""))</f>
        <v/>
      </c>
      <c r="V72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73">
      <c r="A73" s="16" t="n">
        <v>32</v>
      </c>
      <c r="B73" s="16" t="inlineStr">
        <is>
          <t>التميز والخدمات الحكومية</t>
        </is>
      </c>
      <c r="C73" s="16" t="n"/>
      <c r="D73" t="inlineStr">
        <is>
          <t>مشروع استراتيجي توضيحي 072</t>
        </is>
      </c>
      <c r="F73" s="16" t="inlineStr">
        <is>
          <t>H</t>
        </is>
      </c>
      <c r="G73" s="16" t="inlineStr">
        <is>
          <t>Operational</t>
        </is>
      </c>
      <c r="H73" t="inlineStr">
        <is>
          <t>مدير توضيحي 1</t>
        </is>
      </c>
      <c r="I73" s="17" t="inlineStr">
        <is>
          <t>Jan</t>
        </is>
      </c>
      <c r="J73" s="17" t="inlineStr">
        <is>
          <t>Dec</t>
        </is>
      </c>
      <c r="K73" s="18" t="n">
        <v>956250</v>
      </c>
      <c r="L73" s="18" t="n">
        <v>1062500</v>
      </c>
      <c r="M73" s="18" t="n">
        <v>850000</v>
      </c>
      <c r="N73" s="18" t="n">
        <v>212500</v>
      </c>
      <c r="O73" s="18" t="n">
        <v>425000</v>
      </c>
      <c r="P73" s="18" t="n">
        <v>371875</v>
      </c>
      <c r="Q73" s="100" t="inlineStr">
        <is>
          <t>Active</t>
        </is>
      </c>
      <c r="R73" s="100" t="n">
        <v>0.4</v>
      </c>
      <c r="U73" s="16">
        <f>IF(ISNUMBER(J73),IF(YEAR(J73)=YEAR(ValidationDate),"Q"&amp;ROUNDUP(MONTH(J73)/3,0),YEAR(J73)&amp;" Q"&amp;ROUNDUP(MONTH(J73)/3,0)),IFERROR("Q"&amp;ROUNDUP(MATCH(UPPER(TRIM(J73)),{"JAN","FEB","MAR","APR","MAY","JUN","JUL","AUG","SEP","OCT","NOV","DEC"},0)/3,0),""))</f>
        <v/>
      </c>
      <c r="V73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74">
      <c r="A74" s="16" t="n">
        <v>33</v>
      </c>
      <c r="B74" s="16" t="inlineStr">
        <is>
          <t>التميز والخدمات الحكومية</t>
        </is>
      </c>
      <c r="C74" s="16" t="n"/>
      <c r="D74" t="inlineStr">
        <is>
          <t>مشروع استراتيجي توضيحي 073</t>
        </is>
      </c>
      <c r="F74" s="16" t="inlineStr">
        <is>
          <t>H</t>
        </is>
      </c>
      <c r="G74" s="16" t="inlineStr">
        <is>
          <t>Operational</t>
        </is>
      </c>
      <c r="H74" t="inlineStr">
        <is>
          <t>مدير توضيحي 2</t>
        </is>
      </c>
      <c r="I74" s="17" t="inlineStr">
        <is>
          <t>Jan</t>
        </is>
      </c>
      <c r="J74" s="17" t="inlineStr">
        <is>
          <t>Dec</t>
        </is>
      </c>
      <c r="K74" s="18" t="n">
        <v>967500</v>
      </c>
      <c r="L74" s="18" t="n">
        <v>1075000</v>
      </c>
      <c r="M74" s="18" t="n">
        <v>860000</v>
      </c>
      <c r="N74" s="18" t="n">
        <v>215000</v>
      </c>
      <c r="O74" s="18" t="n">
        <v>430000</v>
      </c>
      <c r="P74" s="18" t="n">
        <v>376250</v>
      </c>
      <c r="Q74" s="100" t="inlineStr">
        <is>
          <t>Active</t>
        </is>
      </c>
      <c r="R74" s="100" t="n">
        <v>0.4</v>
      </c>
      <c r="U74" s="16">
        <f>IF(ISNUMBER(J74),IF(YEAR(J74)=YEAR(ValidationDate),"Q"&amp;ROUNDUP(MONTH(J74)/3,0),YEAR(J74)&amp;" Q"&amp;ROUNDUP(MONTH(J74)/3,0)),IFERROR("Q"&amp;ROUNDUP(MATCH(UPPER(TRIM(J74)),{"JAN","FEB","MAR","APR","MAY","JUN","JUL","AUG","SEP","OCT","NOV","DEC"},0)/3,0),""))</f>
        <v/>
      </c>
      <c r="V74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75">
      <c r="A75" s="16" t="n">
        <v>34</v>
      </c>
      <c r="B75" s="16" t="inlineStr">
        <is>
          <t>التميز والخدمات الحكومية</t>
        </is>
      </c>
      <c r="C75" s="16" t="n"/>
      <c r="D75" t="inlineStr">
        <is>
          <t>مشروع استراتيجي توضيحي 074</t>
        </is>
      </c>
      <c r="F75" s="16" t="inlineStr">
        <is>
          <t>H</t>
        </is>
      </c>
      <c r="G75" s="16" t="inlineStr">
        <is>
          <t>Operational</t>
        </is>
      </c>
      <c r="H75" t="inlineStr">
        <is>
          <t>مدير توضيحي 3</t>
        </is>
      </c>
      <c r="I75" s="17" t="inlineStr">
        <is>
          <t>Aug</t>
        </is>
      </c>
      <c r="J75" s="17" t="inlineStr">
        <is>
          <t>Dec</t>
        </is>
      </c>
      <c r="K75" s="18" t="n">
        <v>978750</v>
      </c>
      <c r="L75" s="18" t="n">
        <v>1087500</v>
      </c>
      <c r="M75" s="18" t="n">
        <v>870000</v>
      </c>
      <c r="N75" s="18" t="n">
        <v>217500</v>
      </c>
      <c r="O75" s="18" t="n">
        <v>108750</v>
      </c>
      <c r="P75" s="18" t="n">
        <v>380625</v>
      </c>
      <c r="Q75" s="100" t="inlineStr">
        <is>
          <t>Active</t>
        </is>
      </c>
      <c r="R75" s="100" t="n">
        <v>0.1</v>
      </c>
      <c r="U75" s="16">
        <f>IF(ISNUMBER(J75),IF(YEAR(J75)=YEAR(ValidationDate),"Q"&amp;ROUNDUP(MONTH(J75)/3,0),YEAR(J75)&amp;" Q"&amp;ROUNDUP(MONTH(J75)/3,0)),IFERROR("Q"&amp;ROUNDUP(MATCH(UPPER(TRIM(J75)),{"JAN","FEB","MAR","APR","MAY","JUN","JUL","AUG","SEP","OCT","NOV","DEC"},0)/3,0),""))</f>
        <v/>
      </c>
      <c r="V75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76">
      <c r="A76" s="16" t="n">
        <v>41</v>
      </c>
      <c r="B76" s="16" t="inlineStr">
        <is>
          <t>التنمية المستدامة</t>
        </is>
      </c>
      <c r="C76" s="16" t="n"/>
      <c r="D76" t="inlineStr">
        <is>
          <t>مشروع استراتيجي توضيحي 075</t>
        </is>
      </c>
      <c r="F76" s="16" t="inlineStr">
        <is>
          <t>H</t>
        </is>
      </c>
      <c r="G76" s="16" t="inlineStr">
        <is>
          <t>Strategic</t>
        </is>
      </c>
      <c r="H76" t="inlineStr">
        <is>
          <t>مدير توضيحي 1</t>
        </is>
      </c>
      <c r="I76" s="17" t="inlineStr">
        <is>
          <t>Jan</t>
        </is>
      </c>
      <c r="J76" s="17" t="inlineStr">
        <is>
          <t>Dec</t>
        </is>
      </c>
      <c r="K76" s="18" t="n">
        <v>990000</v>
      </c>
      <c r="L76" s="18" t="n">
        <v>1100000</v>
      </c>
      <c r="M76" s="18" t="n">
        <v>880000</v>
      </c>
      <c r="N76" s="18" t="n">
        <v>220000</v>
      </c>
      <c r="O76" s="18" t="n">
        <v>55000</v>
      </c>
      <c r="P76" s="18" t="n">
        <v>385000</v>
      </c>
      <c r="Q76" s="100" t="inlineStr">
        <is>
          <t>Not Started</t>
        </is>
      </c>
      <c r="R76" s="100" t="n">
        <v>0.05</v>
      </c>
      <c r="U76" s="16">
        <f>IF(ISNUMBER(J76),IF(YEAR(J76)=YEAR(ValidationDate),"Q"&amp;ROUNDUP(MONTH(J76)/3,0),YEAR(J76)&amp;" Q"&amp;ROUNDUP(MONTH(J76)/3,0)),IFERROR("Q"&amp;ROUNDUP(MATCH(UPPER(TRIM(J76)),{"JAN","FEB","MAR","APR","MAY","JUN","JUL","AUG","SEP","OCT","NOV","DEC"},0)/3,0),""))</f>
        <v/>
      </c>
      <c r="V76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77">
      <c r="A77" s="16" t="n">
        <v>42</v>
      </c>
      <c r="B77" s="16" t="inlineStr">
        <is>
          <t>التنمية المستدامة</t>
        </is>
      </c>
      <c r="C77" s="16" t="n"/>
      <c r="D77" t="inlineStr">
        <is>
          <t>مشروع استراتيجي توضيحي 076</t>
        </is>
      </c>
      <c r="F77" s="16" t="inlineStr">
        <is>
          <t>M</t>
        </is>
      </c>
      <c r="G77" s="16" t="inlineStr">
        <is>
          <t>Strategic</t>
        </is>
      </c>
      <c r="H77" t="inlineStr">
        <is>
          <t>مدير توضيحي 2</t>
        </is>
      </c>
      <c r="I77" s="17" t="inlineStr">
        <is>
          <t>Jan</t>
        </is>
      </c>
      <c r="J77" s="17" t="inlineStr">
        <is>
          <t>Dec</t>
        </is>
      </c>
      <c r="K77" s="18" t="n">
        <v>1001250</v>
      </c>
      <c r="L77" s="18" t="n">
        <v>1112500</v>
      </c>
      <c r="M77" s="18" t="n">
        <v>890000</v>
      </c>
      <c r="N77" s="18" t="n">
        <v>222500</v>
      </c>
      <c r="O77" s="18" t="n">
        <v>0</v>
      </c>
      <c r="P77" s="18" t="n">
        <v>389375</v>
      </c>
      <c r="Q77" s="100" t="inlineStr">
        <is>
          <t>Frozen</t>
        </is>
      </c>
      <c r="R77" s="100" t="n">
        <v>0</v>
      </c>
      <c r="U77" s="16">
        <f>IF(ISNUMBER(J77),IF(YEAR(J77)=YEAR(ValidationDate),"Q"&amp;ROUNDUP(MONTH(J77)/3,0),YEAR(J77)&amp;" Q"&amp;ROUNDUP(MONTH(J77)/3,0)),IFERROR("Q"&amp;ROUNDUP(MATCH(UPPER(TRIM(J77)),{"JAN","FEB","MAR","APR","MAY","JUN","JUL","AUG","SEP","OCT","NOV","DEC"},0)/3,0),""))</f>
        <v/>
      </c>
      <c r="V77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78">
      <c r="A78" s="16" t="n">
        <v>43</v>
      </c>
      <c r="B78" s="16" t="inlineStr">
        <is>
          <t>التنمية المستدامة</t>
        </is>
      </c>
      <c r="C78" s="16" t="n"/>
      <c r="D78" t="inlineStr">
        <is>
          <t>مشروع استراتيجي توضيحي 077</t>
        </is>
      </c>
      <c r="F78" s="16" t="inlineStr">
        <is>
          <t>H</t>
        </is>
      </c>
      <c r="G78" s="16" t="inlineStr">
        <is>
          <t>Strategic</t>
        </is>
      </c>
      <c r="H78" t="inlineStr">
        <is>
          <t>مدير توضيحي 3</t>
        </is>
      </c>
      <c r="I78" s="17" t="inlineStr">
        <is>
          <t>Jan</t>
        </is>
      </c>
      <c r="J78" s="17" t="inlineStr">
        <is>
          <t>Dec</t>
        </is>
      </c>
      <c r="K78" s="18" t="n">
        <v>1012500</v>
      </c>
      <c r="L78" s="18" t="n">
        <v>1125000</v>
      </c>
      <c r="M78" s="18" t="n">
        <v>900000</v>
      </c>
      <c r="N78" s="18" t="n">
        <v>225000</v>
      </c>
      <c r="O78" s="18" t="n">
        <v>225000</v>
      </c>
      <c r="P78" s="18" t="n">
        <v>393750</v>
      </c>
      <c r="Q78" s="100" t="inlineStr">
        <is>
          <t>Active</t>
        </is>
      </c>
      <c r="R78" s="100" t="n">
        <v>0.2</v>
      </c>
      <c r="U78" s="16">
        <f>IF(ISNUMBER(J78),IF(YEAR(J78)=YEAR(ValidationDate),"Q"&amp;ROUNDUP(MONTH(J78)/3,0),YEAR(J78)&amp;" Q"&amp;ROUNDUP(MONTH(J78)/3,0)),IFERROR("Q"&amp;ROUNDUP(MATCH(UPPER(TRIM(J78)),{"JAN","FEB","MAR","APR","MAY","JUN","JUL","AUG","SEP","OCT","NOV","DEC"},0)/3,0),""))</f>
        <v/>
      </c>
      <c r="V78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79">
      <c r="A79" s="16" t="n">
        <v>44</v>
      </c>
      <c r="B79" s="16" t="inlineStr">
        <is>
          <t>التنمية المستدامة</t>
        </is>
      </c>
      <c r="C79" s="16" t="n"/>
      <c r="D79" t="inlineStr">
        <is>
          <t>مشروع استراتيجي توضيحي 078</t>
        </is>
      </c>
      <c r="F79" s="16" t="inlineStr">
        <is>
          <t>H</t>
        </is>
      </c>
      <c r="G79" s="16" t="inlineStr">
        <is>
          <t>Strategic</t>
        </is>
      </c>
      <c r="H79" t="inlineStr">
        <is>
          <t>مدير توضيحي 1</t>
        </is>
      </c>
      <c r="I79" s="17" t="inlineStr">
        <is>
          <t>Jan</t>
        </is>
      </c>
      <c r="J79" s="17" t="inlineStr">
        <is>
          <t>Dec</t>
        </is>
      </c>
      <c r="K79" s="18" t="n">
        <v>1023750</v>
      </c>
      <c r="L79" s="18" t="n">
        <v>1137500</v>
      </c>
      <c r="M79" s="18" t="n">
        <v>910000</v>
      </c>
      <c r="N79" s="18" t="n">
        <v>227500</v>
      </c>
      <c r="O79" s="18" t="n">
        <v>739375</v>
      </c>
      <c r="P79" s="18" t="n">
        <v>398125</v>
      </c>
      <c r="Q79" s="100" t="inlineStr">
        <is>
          <t>Active</t>
        </is>
      </c>
      <c r="R79" s="100" t="n">
        <v>0.65</v>
      </c>
      <c r="U79" s="16">
        <f>IF(ISNUMBER(J79),IF(YEAR(J79)=YEAR(ValidationDate),"Q"&amp;ROUNDUP(MONTH(J79)/3,0),YEAR(J79)&amp;" Q"&amp;ROUNDUP(MONTH(J79)/3,0)),IFERROR("Q"&amp;ROUNDUP(MATCH(UPPER(TRIM(J79)),{"JAN","FEB","MAR","APR","MAY","JUN","JUL","AUG","SEP","OCT","NOV","DEC"},0)/3,0),""))</f>
        <v/>
      </c>
      <c r="V79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80">
      <c r="A80" s="16" t="n">
        <v>45</v>
      </c>
      <c r="B80" s="16" t="inlineStr">
        <is>
          <t>الحوكمة</t>
        </is>
      </c>
      <c r="C80" s="16" t="inlineStr">
        <is>
          <t>التشريعات الحكومية</t>
        </is>
      </c>
      <c r="D80" t="inlineStr">
        <is>
          <t>مشروع استراتيجي توضيحي 079</t>
        </is>
      </c>
      <c r="F80" s="16" t="inlineStr">
        <is>
          <t>M</t>
        </is>
      </c>
      <c r="G80" s="16" t="inlineStr">
        <is>
          <t>Operational</t>
        </is>
      </c>
      <c r="H80" t="inlineStr">
        <is>
          <t>مدير توضيحي 2</t>
        </is>
      </c>
      <c r="I80" s="17" t="inlineStr">
        <is>
          <t>Jan</t>
        </is>
      </c>
      <c r="J80" s="17" t="inlineStr">
        <is>
          <t>Dec</t>
        </is>
      </c>
      <c r="K80" s="18" t="n">
        <v>1035000</v>
      </c>
      <c r="L80" s="18" t="n">
        <v>1150000</v>
      </c>
      <c r="M80" s="18" t="n">
        <v>920000</v>
      </c>
      <c r="N80" s="18" t="n">
        <v>230000</v>
      </c>
      <c r="O80" s="18" t="n">
        <v>1150000</v>
      </c>
      <c r="P80" s="18" t="n">
        <v>402500</v>
      </c>
      <c r="Q80" s="100" t="inlineStr">
        <is>
          <t>Completed</t>
        </is>
      </c>
      <c r="R80" s="100" t="n">
        <v>1</v>
      </c>
      <c r="U80" s="16">
        <f>IF(ISNUMBER(J80),IF(YEAR(J80)=YEAR(ValidationDate),"Q"&amp;ROUNDUP(MONTH(J80)/3,0),YEAR(J80)&amp;" Q"&amp;ROUNDUP(MONTH(J80)/3,0)),IFERROR("Q"&amp;ROUNDUP(MATCH(UPPER(TRIM(J80)),{"JAN","FEB","MAR","APR","MAY","JUN","JUL","AUG","SEP","OCT","NOV","DEC"},0)/3,0),""))</f>
        <v/>
      </c>
      <c r="V80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81">
      <c r="A81" s="16" t="n">
        <v>47</v>
      </c>
      <c r="B81" s="16" t="inlineStr">
        <is>
          <t>الحوكمة</t>
        </is>
      </c>
      <c r="C81" s="16" t="inlineStr">
        <is>
          <t>التنفيذ والأداء</t>
        </is>
      </c>
      <c r="D81" t="inlineStr">
        <is>
          <t>مشروع استراتيجي توضيحي 080</t>
        </is>
      </c>
      <c r="F81" s="16" t="inlineStr">
        <is>
          <t>H</t>
        </is>
      </c>
      <c r="G81" s="16" t="inlineStr">
        <is>
          <t>Strategic</t>
        </is>
      </c>
      <c r="H81" t="inlineStr">
        <is>
          <t>مدير توضيحي 3</t>
        </is>
      </c>
      <c r="I81" s="17" t="inlineStr">
        <is>
          <t>Jan</t>
        </is>
      </c>
      <c r="J81" s="17" t="inlineStr">
        <is>
          <t>Dec</t>
        </is>
      </c>
      <c r="K81" s="18" t="n">
        <v>1046250</v>
      </c>
      <c r="L81" s="18" t="n">
        <v>1162500</v>
      </c>
      <c r="M81" s="18" t="n">
        <v>930000</v>
      </c>
      <c r="N81" s="18" t="n">
        <v>232500</v>
      </c>
      <c r="O81" s="18" t="n">
        <v>0</v>
      </c>
      <c r="P81" s="18" t="n">
        <v>406875</v>
      </c>
      <c r="Q81" s="100" t="inlineStr">
        <is>
          <t>Active</t>
        </is>
      </c>
      <c r="R81" s="100" t="n">
        <v>0</v>
      </c>
      <c r="U81" s="16">
        <f>IF(ISNUMBER(J81),IF(YEAR(J81)=YEAR(ValidationDate),"Q"&amp;ROUNDUP(MONTH(J81)/3,0),YEAR(J81)&amp;" Q"&amp;ROUNDUP(MONTH(J81)/3,0)),IFERROR("Q"&amp;ROUNDUP(MATCH(UPPER(TRIM(J81)),{"JAN","FEB","MAR","APR","MAY","JUN","JUL","AUG","SEP","OCT","NOV","DEC"},0)/3,0),""))</f>
        <v/>
      </c>
      <c r="V81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82">
      <c r="A82" s="16" t="n">
        <v>50</v>
      </c>
      <c r="B82" s="16" t="inlineStr">
        <is>
          <t>الحوكمة</t>
        </is>
      </c>
      <c r="C82" s="16" t="inlineStr">
        <is>
          <t>التنفيذ والأداء</t>
        </is>
      </c>
      <c r="D82" t="inlineStr">
        <is>
          <t>مشروع استراتيجي توضيحي 081</t>
        </is>
      </c>
      <c r="F82" s="16" t="inlineStr">
        <is>
          <t>H</t>
        </is>
      </c>
      <c r="G82" s="16" t="inlineStr">
        <is>
          <t>Strategic</t>
        </is>
      </c>
      <c r="H82" t="inlineStr">
        <is>
          <t>مدير توضيحي 1</t>
        </is>
      </c>
      <c r="I82" s="17" t="inlineStr">
        <is>
          <t>Jan</t>
        </is>
      </c>
      <c r="J82" s="17" t="inlineStr">
        <is>
          <t>Dec</t>
        </is>
      </c>
      <c r="K82" s="18" t="n">
        <v>1057500</v>
      </c>
      <c r="L82" s="18" t="n">
        <v>1175000</v>
      </c>
      <c r="M82" s="18" t="n">
        <v>940000</v>
      </c>
      <c r="N82" s="18" t="n">
        <v>235000</v>
      </c>
      <c r="O82" s="18" t="n">
        <v>1175000</v>
      </c>
      <c r="P82" s="18" t="n">
        <v>411250</v>
      </c>
      <c r="Q82" s="100" t="inlineStr">
        <is>
          <t>Completed</t>
        </is>
      </c>
      <c r="R82" s="100" t="n">
        <v>1</v>
      </c>
      <c r="U82" s="16">
        <f>IF(ISNUMBER(J82),IF(YEAR(J82)=YEAR(ValidationDate),"Q"&amp;ROUNDUP(MONTH(J82)/3,0),YEAR(J82)&amp;" Q"&amp;ROUNDUP(MONTH(J82)/3,0)),IFERROR("Q"&amp;ROUNDUP(MATCH(UPPER(TRIM(J82)),{"JAN","FEB","MAR","APR","MAY","JUN","JUL","AUG","SEP","OCT","NOV","DEC"},0)/3,0),""))</f>
        <v/>
      </c>
      <c r="V82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83">
      <c r="A83" s="16" t="n">
        <v>46</v>
      </c>
      <c r="B83" s="16" t="inlineStr">
        <is>
          <t>الحوكمة</t>
        </is>
      </c>
      <c r="C83" s="16" t="inlineStr">
        <is>
          <t>الحوكمة</t>
        </is>
      </c>
      <c r="D83" t="inlineStr">
        <is>
          <t>مشروع استراتيجي توضيحي 082</t>
        </is>
      </c>
      <c r="F83" s="16" t="inlineStr">
        <is>
          <t>M</t>
        </is>
      </c>
      <c r="G83" s="16" t="inlineStr">
        <is>
          <t>Strategic</t>
        </is>
      </c>
      <c r="H83" t="inlineStr">
        <is>
          <t>مدير توضيحي 2</t>
        </is>
      </c>
      <c r="I83" s="17" t="inlineStr">
        <is>
          <t>Jan</t>
        </is>
      </c>
      <c r="J83" s="17" t="inlineStr">
        <is>
          <t>Dec</t>
        </is>
      </c>
      <c r="K83" s="18" t="n">
        <v>1068750</v>
      </c>
      <c r="L83" s="18" t="n">
        <v>1187500</v>
      </c>
      <c r="M83" s="18" t="n">
        <v>950000</v>
      </c>
      <c r="N83" s="18" t="n">
        <v>237500</v>
      </c>
      <c r="O83" s="18" t="n">
        <v>0</v>
      </c>
      <c r="P83" s="18" t="n">
        <v>415625</v>
      </c>
      <c r="Q83" s="100" t="inlineStr">
        <is>
          <t>Frozen</t>
        </is>
      </c>
      <c r="R83" s="100" t="n">
        <v>0</v>
      </c>
      <c r="U83" s="16">
        <f>IF(ISNUMBER(J83),IF(YEAR(J83)=YEAR(ValidationDate),"Q"&amp;ROUNDUP(MONTH(J83)/3,0),YEAR(J83)&amp;" Q"&amp;ROUNDUP(MONTH(J83)/3,0)),IFERROR("Q"&amp;ROUNDUP(MATCH(UPPER(TRIM(J83)),{"JAN","FEB","MAR","APR","MAY","JUN","JUL","AUG","SEP","OCT","NOV","DEC"},0)/3,0),""))</f>
        <v/>
      </c>
      <c r="V83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84">
      <c r="A84" s="16" t="n">
        <v>48</v>
      </c>
      <c r="B84" s="16" t="inlineStr">
        <is>
          <t>الحوكمة</t>
        </is>
      </c>
      <c r="C84" s="16" t="n"/>
      <c r="D84" t="inlineStr">
        <is>
          <t>مشروع استراتيجي توضيحي 083</t>
        </is>
      </c>
      <c r="F84" s="16" t="inlineStr">
        <is>
          <t>H</t>
        </is>
      </c>
      <c r="G84" s="16" t="inlineStr">
        <is>
          <t>Strategic</t>
        </is>
      </c>
      <c r="H84" t="inlineStr">
        <is>
          <t>مدير توضيحي 3</t>
        </is>
      </c>
      <c r="I84" s="17" t="inlineStr">
        <is>
          <t>Jan</t>
        </is>
      </c>
      <c r="J84" s="17" t="inlineStr">
        <is>
          <t>Dec</t>
        </is>
      </c>
      <c r="K84" s="18" t="n">
        <v>1080000</v>
      </c>
      <c r="L84" s="18" t="n">
        <v>1200000</v>
      </c>
      <c r="M84" s="18" t="n">
        <v>960000</v>
      </c>
      <c r="N84" s="18" t="n">
        <v>240000</v>
      </c>
      <c r="O84" s="18" t="n">
        <v>780000</v>
      </c>
      <c r="P84" s="18" t="n">
        <v>420000</v>
      </c>
      <c r="Q84" s="100" t="inlineStr">
        <is>
          <t>Active</t>
        </is>
      </c>
      <c r="R84" s="100" t="n">
        <v>0.65</v>
      </c>
      <c r="U84" s="16">
        <f>IF(ISNUMBER(J84),IF(YEAR(J84)=YEAR(ValidationDate),"Q"&amp;ROUNDUP(MONTH(J84)/3,0),YEAR(J84)&amp;" Q"&amp;ROUNDUP(MONTH(J84)/3,0)),IFERROR("Q"&amp;ROUNDUP(MATCH(UPPER(TRIM(J84)),{"JAN","FEB","MAR","APR","MAY","JUN","JUL","AUG","SEP","OCT","NOV","DEC"},0)/3,0),""))</f>
        <v/>
      </c>
      <c r="V84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  <row r="85">
      <c r="A85" s="16" t="n">
        <v>49</v>
      </c>
      <c r="B85" s="16" t="inlineStr">
        <is>
          <t>الحوكمة</t>
        </is>
      </c>
      <c r="C85" s="16" t="n"/>
      <c r="D85" t="inlineStr">
        <is>
          <t>مشروع استراتيجي توضيحي 084</t>
        </is>
      </c>
      <c r="F85" s="16" t="inlineStr">
        <is>
          <t>H</t>
        </is>
      </c>
      <c r="G85" s="16" t="inlineStr">
        <is>
          <t>Strategic</t>
        </is>
      </c>
      <c r="H85" t="inlineStr">
        <is>
          <t>مدير توضيحي 1</t>
        </is>
      </c>
      <c r="I85" s="17" t="inlineStr">
        <is>
          <t>Jan</t>
        </is>
      </c>
      <c r="J85" s="17" t="inlineStr">
        <is>
          <t>Dec</t>
        </is>
      </c>
      <c r="K85" s="18" t="n">
        <v>1091250</v>
      </c>
      <c r="L85" s="18" t="n">
        <v>1212500</v>
      </c>
      <c r="M85" s="18" t="n">
        <v>970000</v>
      </c>
      <c r="N85" s="18" t="n">
        <v>242500</v>
      </c>
      <c r="O85" s="18" t="n">
        <v>242500</v>
      </c>
      <c r="P85" s="18" t="n">
        <v>424375</v>
      </c>
      <c r="Q85" s="100" t="inlineStr">
        <is>
          <t>Active</t>
        </is>
      </c>
      <c r="R85" s="100" t="n">
        <v>0.2</v>
      </c>
      <c r="U85" s="16">
        <f>IF(ISNUMBER(J85),IF(YEAR(J85)=YEAR(ValidationDate),"Q"&amp;ROUNDUP(MONTH(J85)/3,0),YEAR(J85)&amp;" Q"&amp;ROUNDUP(MONTH(J85)/3,0)),IFERROR("Q"&amp;ROUNDUP(MATCH(UPPER(TRIM(J85)),{"JAN","FEB","MAR","APR","MAY","JUN","JUL","AUG","SEP","OCT","NOV","DEC"},0)/3,0),""))</f>
        <v/>
      </c>
      <c r="V85" s="16">
        <f>_xlfn.LET(
_xlpm.projectName,Projects[[#This Row],[اسم المشروع]],
_xlpm.endValue,Projects[[#This Row],[انتهاء المشروع]],
_xlpm.status,TRIM(SUBSTITUTE(Projects[[#This Row],[مستوى الإنجاز]],CHAR(160)," ")),
_xlpm.monthNo,
IF(
_xlpm.endValue="",
0,
IF(
ISNUMBER(_xlpm.endValue),
MONTH(_xlpm.endValue),
IFERROR(
MATCH(
UPPER(TRIM(_xlpm.endValue)),
{"JAN","FEB","MAR","APR","MAY","JUN","JUL","AUG","SEP","OCT","NOV","DEC"},
0
),
0
)
)
),
_xlpm.yearNo,
IF(
ISNUMBER(_xlpm.endValue),
YEAR(_xlpm.endValue),
YEAR(ValidationDate)
),
_xlpm.dueDate,
IF(
_xlpm.monthNo=0,
"",
EOMONTH(DATE(_xlpm.yearNo,_xlpm.monthNo,1),0)
),
IF(
OR(
_xlpm.projectName="",
_xlpm.dueDate="",
NOT(OR(_xlpm.status="Active",_xlpm.status="Not Started"))
),
"",
IF(ValidationDate&gt;_xlpm.dueDate,"Late","")
)
)</f>
        <v/>
      </c>
    </row>
  </sheetData>
  <conditionalFormatting sqref="D1:D1048576">
    <cfRule type="duplicateValues" priority="1" dxfId="0"/>
  </conditionalFormatting>
  <dataValidations count="3">
    <dataValidation sqref="C2:C85" showDropDown="0" showInputMessage="1" showErrorMessage="1" allowBlank="1" type="list">
      <formula1>DepartmentsList</formula1>
    </dataValidation>
    <dataValidation sqref="B2:B85" showDropDown="0" showInputMessage="1" showErrorMessage="1" allowBlank="1" type="list">
      <formula1>SectorsList</formula1>
    </dataValidation>
    <dataValidation sqref="R2:R85" showDropDown="0" showInputMessage="1" showErrorMessage="1" allowBlank="1" type="list">
      <formula1>CompletionList</formula1>
    </dataValidation>
  </dataValidations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18"/>
  <sheetViews>
    <sheetView rightToLeft="1" zoomScaleNormal="100" workbookViewId="0">
      <pane ySplit="1" topLeftCell="A2" activePane="bottomLeft" state="frozen"/>
      <selection pane="bottomLeft" activeCell="A1" sqref="A1"/>
    </sheetView>
  </sheetViews>
  <sheetFormatPr baseColWidth="8" defaultColWidth="25.7109375" defaultRowHeight="18.75"/>
  <cols>
    <col width="36.140625" bestFit="1" customWidth="1" style="105" min="1" max="1"/>
    <col width="15.140625" bestFit="1" customWidth="1" style="105" min="2" max="2"/>
    <col width="17.42578125" bestFit="1" customWidth="1" style="105" min="3" max="3"/>
    <col width="10" bestFit="1" customWidth="1" style="105" min="4" max="4"/>
    <col width="30.28515625" bestFit="1" customWidth="1" style="105" min="5" max="5"/>
    <col width="15.85546875" bestFit="1" customWidth="1" style="105" min="6" max="6"/>
    <col width="19.85546875" bestFit="1" customWidth="1" style="105" min="7" max="7"/>
    <col width="33.140625" bestFit="1" customWidth="1" style="105" min="8" max="8"/>
    <col width="13.42578125" bestFit="1" customWidth="1" style="105" min="9" max="9"/>
    <col width="10.42578125" bestFit="1" customWidth="1" style="105" min="10" max="10"/>
    <col width="11" bestFit="1" customWidth="1" style="105" min="11" max="11"/>
    <col width="10.85546875" bestFit="1" customWidth="1" style="105" min="12" max="12"/>
    <col width="23.42578125" bestFit="1" customWidth="1" style="105" min="13" max="13"/>
    <col width="23.28515625" bestFit="1" customWidth="1" style="105" min="14" max="14"/>
    <col width="27" bestFit="1" customWidth="1" style="105" min="15" max="15"/>
    <col width="28.85546875" bestFit="1" customWidth="1" style="105" min="16" max="16"/>
    <col width="20.28515625" bestFit="1" customWidth="1" style="105" min="17" max="17"/>
    <col width="25.7109375" customWidth="1" style="105" min="18" max="16384"/>
  </cols>
  <sheetData>
    <row r="1" customFormat="1" s="14">
      <c r="A1" s="101" t="inlineStr">
        <is>
          <t>Source.Name</t>
        </is>
      </c>
      <c r="B1" s="14" t="inlineStr">
        <is>
          <t>تصنيف الموضوع</t>
        </is>
      </c>
      <c r="C1" s="14" t="inlineStr">
        <is>
          <t>منسق الأمانة العامة</t>
        </is>
      </c>
      <c r="D1" s="14" t="inlineStr">
        <is>
          <t xml:space="preserve">الموضوع </t>
        </is>
      </c>
      <c r="E1" s="14" t="inlineStr">
        <is>
          <t>الجهة المعنية</t>
        </is>
      </c>
      <c r="F1" s="101" t="inlineStr">
        <is>
          <t>الجهات المساهمة</t>
        </is>
      </c>
      <c r="G1" s="14" t="inlineStr">
        <is>
          <t>القطاع</t>
        </is>
      </c>
      <c r="H1" s="14" t="inlineStr">
        <is>
          <t>الإدارة</t>
        </is>
      </c>
      <c r="I1" s="14" t="inlineStr">
        <is>
          <t>مستوى الإنجاز</t>
        </is>
      </c>
      <c r="J1" s="14" t="inlineStr">
        <is>
          <t>ربع الإنجاز</t>
        </is>
      </c>
      <c r="K1" s="14" t="inlineStr">
        <is>
          <t>شهر الإنجاز</t>
        </is>
      </c>
      <c r="L1" s="14" t="inlineStr">
        <is>
          <t>سنة الإنجاز</t>
        </is>
      </c>
      <c r="M1" s="14" t="inlineStr">
        <is>
          <t>الموعد الجديد إن وجد (شهر)</t>
        </is>
      </c>
      <c r="N1" s="14" t="inlineStr">
        <is>
          <t>ملاحظات فريق الأمانة العامة</t>
        </is>
      </c>
      <c r="O1" s="14" t="inlineStr">
        <is>
          <t>تاريخ العرض على مجلس الشؤون</t>
        </is>
      </c>
      <c r="P1" s="14" t="inlineStr">
        <is>
          <t>تاريخ العرض على المجلس التنفيذي</t>
        </is>
      </c>
      <c r="Q1" s="14" t="inlineStr">
        <is>
          <t>ملاحظات مقرر المجالس</t>
        </is>
      </c>
    </row>
    <row r="2">
      <c r="A2" s="101" t="inlineStr">
        <is>
          <t>Economic_Performace_Tracker.xlsx</t>
        </is>
      </c>
      <c r="B2" s="105" t="inlineStr">
        <is>
          <t>الأجندة السنوية</t>
        </is>
      </c>
      <c r="C2" t="inlineStr">
        <is>
          <t>مدير توضيحي 2</t>
        </is>
      </c>
      <c r="D2" t="inlineStr">
        <is>
          <t>موضوع توضيحي 001</t>
        </is>
      </c>
      <c r="E2" s="105" t="inlineStr">
        <is>
          <t>دائرة الأراضي والأملاك</t>
        </is>
      </c>
      <c r="F2" s="101" t="n"/>
      <c r="G2" s="105" t="inlineStr">
        <is>
          <t>الاقتصاد والتنمية الاجتماعية</t>
        </is>
      </c>
      <c r="H2" s="105" t="inlineStr">
        <is>
          <t>السياسات والاستراتيجيات الاقتصادية</t>
        </is>
      </c>
      <c r="I2" s="105" t="inlineStr">
        <is>
          <t>جاهز للعرض</t>
        </is>
      </c>
      <c r="J2" s="105" t="inlineStr">
        <is>
          <t>الربع الأول</t>
        </is>
      </c>
      <c r="K2" s="105" t="inlineStr">
        <is>
          <t>مارس</t>
        </is>
      </c>
      <c r="L2" s="105" t="n">
        <v>2026</v>
      </c>
    </row>
    <row r="3">
      <c r="A3" s="101" t="inlineStr">
        <is>
          <t>Economic_Performace_Tracker.xlsx</t>
        </is>
      </c>
      <c r="B3" s="105" t="inlineStr">
        <is>
          <t>الأجندة السنوية</t>
        </is>
      </c>
      <c r="C3" t="inlineStr">
        <is>
          <t>مدير توضيحي 3</t>
        </is>
      </c>
      <c r="D3" t="inlineStr">
        <is>
          <t>موضوع توضيحي 002</t>
        </is>
      </c>
      <c r="E3" s="105" t="inlineStr">
        <is>
          <t>سلطة مركز دبي المالي العالمي</t>
        </is>
      </c>
      <c r="F3" s="101" t="n"/>
      <c r="G3" s="105" t="inlineStr">
        <is>
          <t>الاقتصاد والتنمية الاجتماعية</t>
        </is>
      </c>
      <c r="H3" s="105" t="inlineStr">
        <is>
          <t>السياسات والاستراتيجيات الاقتصادية</t>
        </is>
      </c>
      <c r="I3" s="105" t="inlineStr">
        <is>
          <t>منجز</t>
        </is>
      </c>
      <c r="J3" s="105" t="inlineStr">
        <is>
          <t>الربع الثاني</t>
        </is>
      </c>
      <c r="K3" s="105" t="inlineStr">
        <is>
          <t>يونيو</t>
        </is>
      </c>
      <c r="L3" s="105" t="n">
        <v>2026</v>
      </c>
      <c r="O3" s="105" t="inlineStr">
        <is>
          <t>16 يونيو 2026</t>
        </is>
      </c>
    </row>
    <row r="4">
      <c r="A4" s="101" t="inlineStr">
        <is>
          <t>Economic_Performace_Tracker.xlsx</t>
        </is>
      </c>
      <c r="B4" s="105" t="inlineStr">
        <is>
          <t>الأجندة السنوية</t>
        </is>
      </c>
      <c r="C4" t="inlineStr">
        <is>
          <t>مدير توضيحي 1</t>
        </is>
      </c>
      <c r="D4" t="inlineStr">
        <is>
          <t>موضوع توضيحي 003</t>
        </is>
      </c>
      <c r="E4" s="105" t="inlineStr">
        <is>
          <t>جمارك دبي</t>
        </is>
      </c>
      <c r="F4" s="101" t="n"/>
      <c r="G4" s="105" t="inlineStr">
        <is>
          <t>الاقتصاد والتنمية الاجتماعية</t>
        </is>
      </c>
      <c r="H4" s="105" t="inlineStr">
        <is>
          <t>السياسات والاستراتيجيات الاقتصادية</t>
        </is>
      </c>
      <c r="I4" s="105" t="inlineStr">
        <is>
          <t>منجز</t>
        </is>
      </c>
      <c r="J4" s="105" t="inlineStr">
        <is>
          <t>الربع الثاني</t>
        </is>
      </c>
      <c r="K4" s="105" t="inlineStr">
        <is>
          <t>يوليو</t>
        </is>
      </c>
      <c r="L4" s="105" t="n">
        <v>2026</v>
      </c>
    </row>
    <row r="5">
      <c r="A5" s="101" t="inlineStr">
        <is>
          <t>Economic_Performace_Tracker.xlsx</t>
        </is>
      </c>
      <c r="B5" s="105" t="inlineStr">
        <is>
          <t>الأجندة السنوية</t>
        </is>
      </c>
      <c r="C5" t="inlineStr">
        <is>
          <t>مدير توضيحي 2</t>
        </is>
      </c>
      <c r="D5" t="inlineStr">
        <is>
          <t>موضوع توضيحي 004</t>
        </is>
      </c>
      <c r="E5" s="105" t="inlineStr">
        <is>
          <t>دائرة الاقتصاد والسياحة بدبي</t>
        </is>
      </c>
      <c r="F5" s="101" t="n"/>
      <c r="G5" s="105" t="inlineStr">
        <is>
          <t>الاقتصاد والتنمية الاجتماعية</t>
        </is>
      </c>
      <c r="H5" s="105" t="inlineStr">
        <is>
          <t>السياسات والاستراتيجيات الاقتصادية</t>
        </is>
      </c>
      <c r="I5" s="105" t="inlineStr">
        <is>
          <t>منجز</t>
        </is>
      </c>
      <c r="J5" s="105" t="inlineStr">
        <is>
          <t>الربع الثاني</t>
        </is>
      </c>
      <c r="K5" s="105" t="inlineStr">
        <is>
          <t>يونيو</t>
        </is>
      </c>
      <c r="L5" s="105" t="n">
        <v>2026</v>
      </c>
      <c r="O5" s="105" t="inlineStr">
        <is>
          <t>16 يونيو 2026</t>
        </is>
      </c>
      <c r="P5" s="105" t="inlineStr">
        <is>
          <t>01 يوليو 2026</t>
        </is>
      </c>
    </row>
    <row r="6">
      <c r="A6" s="101" t="inlineStr">
        <is>
          <t>Economic_Performace_Tracker.xlsx</t>
        </is>
      </c>
      <c r="B6" s="105" t="inlineStr">
        <is>
          <t>الأجندة السنوية</t>
        </is>
      </c>
      <c r="C6" t="inlineStr">
        <is>
          <t>مدير توضيحي 3</t>
        </is>
      </c>
      <c r="D6" t="inlineStr">
        <is>
          <t>موضوع توضيحي 005</t>
        </is>
      </c>
      <c r="E6" s="105" t="inlineStr">
        <is>
          <t>دائرة الاقتصاد والسياحة بدبي</t>
        </is>
      </c>
      <c r="F6" s="101" t="n"/>
      <c r="G6" s="105" t="inlineStr">
        <is>
          <t>الاقتصاد والتنمية الاجتماعية</t>
        </is>
      </c>
      <c r="H6" s="105" t="inlineStr">
        <is>
          <t>السياسات والاستراتيجيات الاقتصادية</t>
        </is>
      </c>
      <c r="I6" s="105" t="inlineStr">
        <is>
          <t>جاهز للعرض</t>
        </is>
      </c>
      <c r="J6" s="105" t="inlineStr">
        <is>
          <t>الربع الأول</t>
        </is>
      </c>
      <c r="K6" s="105" t="inlineStr">
        <is>
          <t>مارس</t>
        </is>
      </c>
      <c r="L6" s="105" t="n">
        <v>2026</v>
      </c>
    </row>
    <row r="7">
      <c r="A7" s="101" t="inlineStr">
        <is>
          <t>Economic_Performace_Tracker.xlsx</t>
        </is>
      </c>
      <c r="B7" s="105" t="inlineStr">
        <is>
          <t>الأجندة السنوية</t>
        </is>
      </c>
      <c r="C7" t="inlineStr">
        <is>
          <t>مدير توضيحي 1</t>
        </is>
      </c>
      <c r="D7" t="inlineStr">
        <is>
          <t>موضوع توضيحي 006</t>
        </is>
      </c>
      <c r="E7" s="105" t="inlineStr">
        <is>
          <t>دائرة الاقتصاد والسياحة بدبي</t>
        </is>
      </c>
      <c r="F7" s="101" t="n"/>
      <c r="G7" s="105" t="inlineStr">
        <is>
          <t>الاقتصاد والتنمية الاجتماعية</t>
        </is>
      </c>
      <c r="H7" s="105" t="inlineStr">
        <is>
          <t>السياسات والاستراتيجيات الاقتصادية</t>
        </is>
      </c>
      <c r="I7" s="105" t="inlineStr">
        <is>
          <t>منجز</t>
        </is>
      </c>
      <c r="J7" s="105" t="inlineStr">
        <is>
          <t>الربع الثاني</t>
        </is>
      </c>
      <c r="K7" s="105" t="inlineStr">
        <is>
          <t>يونيو</t>
        </is>
      </c>
      <c r="L7" s="105" t="n">
        <v>2026</v>
      </c>
      <c r="O7" s="105" t="inlineStr">
        <is>
          <t>16 يونيو 2026</t>
        </is>
      </c>
      <c r="P7" s="105" t="inlineStr">
        <is>
          <t>01 يوليو 2026</t>
        </is>
      </c>
    </row>
    <row r="8">
      <c r="A8" s="101" t="inlineStr">
        <is>
          <t>Economic_Performace_Tracker.xlsx</t>
        </is>
      </c>
      <c r="B8" s="105" t="inlineStr">
        <is>
          <t>مستجد</t>
        </is>
      </c>
      <c r="C8" t="inlineStr">
        <is>
          <t>مدير توضيحي 2</t>
        </is>
      </c>
      <c r="D8" t="inlineStr">
        <is>
          <t>موضوع توضيحي 007</t>
        </is>
      </c>
      <c r="E8" s="105" t="inlineStr">
        <is>
          <t>هيئة دبي الرقمية</t>
        </is>
      </c>
      <c r="F8" s="101" t="n"/>
      <c r="G8" s="105" t="inlineStr">
        <is>
          <t>الاقتصاد والتنمية الاجتماعية</t>
        </is>
      </c>
      <c r="H8" s="105" t="inlineStr">
        <is>
          <t>السياسات والاستراتيجيات الاقتصادية</t>
        </is>
      </c>
      <c r="I8" s="105" t="inlineStr">
        <is>
          <t>منجز</t>
        </is>
      </c>
      <c r="J8" s="105" t="inlineStr">
        <is>
          <t>الربع الأول</t>
        </is>
      </c>
      <c r="K8" s="105" t="inlineStr">
        <is>
          <t>يناير</t>
        </is>
      </c>
      <c r="L8" s="105" t="n">
        <v>2026</v>
      </c>
    </row>
    <row r="9">
      <c r="A9" s="101" t="inlineStr">
        <is>
          <t>Economic_Performace_Tracker.xlsx</t>
        </is>
      </c>
      <c r="B9" s="105" t="inlineStr">
        <is>
          <t>مستجد</t>
        </is>
      </c>
      <c r="C9" t="inlineStr">
        <is>
          <t>مدير توضيحي 3</t>
        </is>
      </c>
      <c r="D9" t="inlineStr">
        <is>
          <t>موضوع توضيحي 008</t>
        </is>
      </c>
      <c r="E9" s="105" t="inlineStr">
        <is>
          <t>دائرة الاقتصاد والسياحة بدبي</t>
        </is>
      </c>
      <c r="F9" s="101" t="n"/>
      <c r="G9" s="105" t="inlineStr">
        <is>
          <t>الاقتصاد والتنمية الاجتماعية</t>
        </is>
      </c>
      <c r="H9" s="105" t="inlineStr">
        <is>
          <t>السياسات والاستراتيجيات الاقتصادية</t>
        </is>
      </c>
      <c r="I9" s="105" t="inlineStr">
        <is>
          <t>منجز</t>
        </is>
      </c>
      <c r="J9" s="105" t="inlineStr">
        <is>
          <t>الربع الأول</t>
        </is>
      </c>
      <c r="K9" s="105" t="inlineStr">
        <is>
          <t>فبراير</t>
        </is>
      </c>
      <c r="L9" s="105" t="n">
        <v>2026</v>
      </c>
      <c r="O9" s="105" t="inlineStr">
        <is>
          <t>9 فبراير 2026</t>
        </is>
      </c>
    </row>
    <row r="10">
      <c r="A10" s="101" t="inlineStr">
        <is>
          <t>Economic_Performace_Tracker.xlsx</t>
        </is>
      </c>
      <c r="B10" s="105" t="inlineStr">
        <is>
          <t>مستجد</t>
        </is>
      </c>
      <c r="C10" t="inlineStr">
        <is>
          <t>مدير توضيحي 1</t>
        </is>
      </c>
      <c r="D10" t="inlineStr">
        <is>
          <t>موضوع توضيحي 009</t>
        </is>
      </c>
      <c r="E10" s="105" t="inlineStr">
        <is>
          <t>هيئة دبي الرقمية</t>
        </is>
      </c>
      <c r="F10" s="101" t="n"/>
      <c r="G10" s="105" t="inlineStr">
        <is>
          <t>الاقتصاد والتنمية الاجتماعية</t>
        </is>
      </c>
      <c r="H10" s="105" t="inlineStr">
        <is>
          <t>السياسات والاستراتيجيات الاقتصادية</t>
        </is>
      </c>
      <c r="I10" s="105" t="inlineStr">
        <is>
          <t>منجز</t>
        </is>
      </c>
      <c r="J10" s="105" t="inlineStr">
        <is>
          <t>الربع الأول</t>
        </is>
      </c>
      <c r="K10" s="105" t="inlineStr">
        <is>
          <t>مارس</t>
        </is>
      </c>
      <c r="L10" s="105" t="n">
        <v>2026</v>
      </c>
      <c r="P10" s="105" t="inlineStr">
        <is>
          <t>30 مارس 2026</t>
        </is>
      </c>
    </row>
    <row r="11">
      <c r="A11" s="101" t="inlineStr">
        <is>
          <t>Economic_Performace_Tracker.xlsx</t>
        </is>
      </c>
      <c r="B11" s="105" t="inlineStr">
        <is>
          <t>مستجد</t>
        </is>
      </c>
      <c r="C11" t="inlineStr">
        <is>
          <t>مدير توضيحي 2</t>
        </is>
      </c>
      <c r="D11" t="inlineStr">
        <is>
          <t>موضوع توضيحي 010</t>
        </is>
      </c>
      <c r="E11" s="105" t="inlineStr">
        <is>
          <t>الأمانة العامة للمجلس التنفيذي</t>
        </is>
      </c>
      <c r="F11" s="101" t="n"/>
      <c r="G11" s="105" t="inlineStr">
        <is>
          <t>الاقتصاد والتنمية الاجتماعية</t>
        </is>
      </c>
      <c r="H11" s="105" t="inlineStr">
        <is>
          <t>السياسات والاستراتيجيات الاقتصادية</t>
        </is>
      </c>
      <c r="I11" s="105" t="inlineStr">
        <is>
          <t>منجز</t>
        </is>
      </c>
      <c r="J11" s="105" t="inlineStr">
        <is>
          <t>الربع الأول</t>
        </is>
      </c>
      <c r="K11" s="105" t="inlineStr">
        <is>
          <t>مارس</t>
        </is>
      </c>
      <c r="L11" s="105" t="n">
        <v>2026</v>
      </c>
      <c r="P11" s="105" t="inlineStr">
        <is>
          <t>30 مارس 2026</t>
        </is>
      </c>
    </row>
    <row r="12">
      <c r="A12" s="101" t="inlineStr">
        <is>
          <t>Economic_Performace_Tracker.xlsx</t>
        </is>
      </c>
      <c r="B12" s="105" t="inlineStr">
        <is>
          <t>الأجندة السنوية</t>
        </is>
      </c>
      <c r="C12" t="inlineStr">
        <is>
          <t>مدير توضيحي 3</t>
        </is>
      </c>
      <c r="D12" t="inlineStr">
        <is>
          <t>موضوع توضيحي 011</t>
        </is>
      </c>
      <c r="E12" s="105" t="inlineStr">
        <is>
          <t>جمارك دبي</t>
        </is>
      </c>
      <c r="F12" s="101" t="n"/>
      <c r="G12" s="105" t="inlineStr">
        <is>
          <t>الاقتصاد والتنمية الاجتماعية</t>
        </is>
      </c>
      <c r="H12" s="105" t="inlineStr">
        <is>
          <t>السياسات والاستراتيجيات الاقتصادية</t>
        </is>
      </c>
      <c r="I12" s="105" t="inlineStr">
        <is>
          <t>منجز</t>
        </is>
      </c>
      <c r="J12" s="105" t="inlineStr">
        <is>
          <t>الربع الأول</t>
        </is>
      </c>
      <c r="K12" s="105" t="inlineStr">
        <is>
          <t>مارس</t>
        </is>
      </c>
      <c r="L12" s="105" t="n">
        <v>2026</v>
      </c>
      <c r="O12" s="105" t="inlineStr">
        <is>
          <t>9 فبراير 2026</t>
        </is>
      </c>
      <c r="P12" s="105" t="inlineStr">
        <is>
          <t>30 مارس 2026</t>
        </is>
      </c>
    </row>
    <row r="13">
      <c r="A13" s="101" t="inlineStr">
        <is>
          <t>Economic_Performace_Tracker.xlsx</t>
        </is>
      </c>
      <c r="B13" s="105" t="inlineStr">
        <is>
          <t>مستجد</t>
        </is>
      </c>
      <c r="C13" t="inlineStr">
        <is>
          <t>مدير توضيحي 1</t>
        </is>
      </c>
      <c r="D13" t="inlineStr">
        <is>
          <t>موضوع توضيحي 012</t>
        </is>
      </c>
      <c r="E13" s="105" t="inlineStr">
        <is>
          <t>دائرة الأراضي والأملاك</t>
        </is>
      </c>
      <c r="F13" s="101" t="n"/>
      <c r="G13" s="105" t="inlineStr">
        <is>
          <t>الاقتصاد والتنمية الاجتماعية</t>
        </is>
      </c>
      <c r="H13" s="105" t="inlineStr">
        <is>
          <t>السياسات والاستراتيجيات الاقتصادية</t>
        </is>
      </c>
      <c r="I13" s="105" t="inlineStr">
        <is>
          <t>جاهز للعرض</t>
        </is>
      </c>
      <c r="J13" s="105" t="inlineStr">
        <is>
          <t>الربع الثالث</t>
        </is>
      </c>
      <c r="K13" s="105" t="inlineStr">
        <is>
          <t>سبتمبر</t>
        </is>
      </c>
      <c r="L13" s="105" t="n">
        <v>2026</v>
      </c>
    </row>
    <row r="14">
      <c r="A14" s="101" t="inlineStr">
        <is>
          <t>Economic_Performace_Tracker.xlsx</t>
        </is>
      </c>
      <c r="B14" s="105" t="inlineStr">
        <is>
          <t>الأجندة السنوية</t>
        </is>
      </c>
      <c r="C14" t="inlineStr">
        <is>
          <t>مدير توضيحي 2</t>
        </is>
      </c>
      <c r="D14" t="inlineStr">
        <is>
          <t>موضوع توضيحي 013</t>
        </is>
      </c>
      <c r="E14" s="105" t="inlineStr">
        <is>
          <t>دائرة الأراضي والأملاك</t>
        </is>
      </c>
      <c r="F14" s="101" t="n"/>
      <c r="G14" s="105" t="inlineStr">
        <is>
          <t>الاقتصاد والتنمية الاجتماعية</t>
        </is>
      </c>
      <c r="H14" s="105" t="inlineStr">
        <is>
          <t>السياسات والاستراتيجيات الاقتصادية</t>
        </is>
      </c>
      <c r="I14" s="105" t="inlineStr">
        <is>
          <t>جاهز للعرض</t>
        </is>
      </c>
      <c r="J14" s="105" t="inlineStr">
        <is>
          <t>الربع الثالث</t>
        </is>
      </c>
      <c r="K14" s="105" t="inlineStr">
        <is>
          <t>سبتمبر</t>
        </is>
      </c>
      <c r="L14" s="105" t="n">
        <v>2026</v>
      </c>
    </row>
    <row r="15">
      <c r="A15" s="101" t="inlineStr">
        <is>
          <t>Economic_Performace_Tracker.xlsx</t>
        </is>
      </c>
      <c r="B15" s="105" t="inlineStr">
        <is>
          <t>الأجندة السنوية</t>
        </is>
      </c>
      <c r="C15" t="inlineStr">
        <is>
          <t>مدير توضيحي 3</t>
        </is>
      </c>
      <c r="D15" t="inlineStr">
        <is>
          <t>موضوع توضيحي 014</t>
        </is>
      </c>
      <c r="E15" s="105" t="inlineStr">
        <is>
          <t>جمارك دبي</t>
        </is>
      </c>
      <c r="F15" s="101" t="n"/>
      <c r="G15" s="105" t="inlineStr">
        <is>
          <t>الاقتصاد والتنمية الاجتماعية</t>
        </is>
      </c>
      <c r="H15" s="105" t="inlineStr">
        <is>
          <t>السياسات والاستراتيجيات الاقتصادية</t>
        </is>
      </c>
      <c r="I15" s="105" t="inlineStr">
        <is>
          <t>منجز</t>
        </is>
      </c>
      <c r="J15" s="105" t="inlineStr">
        <is>
          <t>الربع الثاني</t>
        </is>
      </c>
      <c r="K15" s="105" t="inlineStr">
        <is>
          <t>يونيو</t>
        </is>
      </c>
      <c r="L15" s="105" t="n">
        <v>2026</v>
      </c>
      <c r="O15" s="105" t="inlineStr">
        <is>
          <t>16 يونيو 2026</t>
        </is>
      </c>
      <c r="P15" s="105" t="inlineStr">
        <is>
          <t>01 يوليو 2026</t>
        </is>
      </c>
    </row>
    <row r="16">
      <c r="A16" s="101" t="inlineStr">
        <is>
          <t>Economic_Performace_Tracker.xlsx</t>
        </is>
      </c>
      <c r="B16" s="105" t="inlineStr">
        <is>
          <t>الأجندة السنوية</t>
        </is>
      </c>
      <c r="C16" t="inlineStr">
        <is>
          <t>مدير توضيحي 1</t>
        </is>
      </c>
      <c r="D16" t="inlineStr">
        <is>
          <t>موضوع توضيحي 015</t>
        </is>
      </c>
      <c r="E16" s="105" t="inlineStr">
        <is>
          <t>دائرة الأراضي والأملاك</t>
        </is>
      </c>
      <c r="F16" s="101" t="n"/>
      <c r="G16" s="105" t="inlineStr">
        <is>
          <t>الاقتصاد والتنمية الاجتماعية</t>
        </is>
      </c>
      <c r="H16" s="105" t="inlineStr">
        <is>
          <t>السياسات والاستراتيجيات الاقتصادية</t>
        </is>
      </c>
      <c r="I16" s="105" t="inlineStr">
        <is>
          <t>قيد التطوير</t>
        </is>
      </c>
      <c r="J16" s="105" t="inlineStr">
        <is>
          <t>الربع الرابع</t>
        </is>
      </c>
      <c r="K16" s="105" t="inlineStr">
        <is>
          <t>ديسمبر</t>
        </is>
      </c>
      <c r="L16" s="105" t="n">
        <v>2026</v>
      </c>
    </row>
    <row r="17">
      <c r="A17" s="101" t="inlineStr">
        <is>
          <t>Economic_Performace_Tracker.xlsx</t>
        </is>
      </c>
      <c r="B17" s="105" t="inlineStr">
        <is>
          <t>الأجندة السنوية</t>
        </is>
      </c>
      <c r="C17" t="inlineStr">
        <is>
          <t>مدير توضيحي 2</t>
        </is>
      </c>
      <c r="D17" t="inlineStr">
        <is>
          <t>موضوع توضيحي 016</t>
        </is>
      </c>
      <c r="E17" s="105" t="inlineStr">
        <is>
          <t>دائرة المالية</t>
        </is>
      </c>
      <c r="F17" s="101" t="n"/>
      <c r="G17" s="105" t="inlineStr">
        <is>
          <t>الاقتصاد والتنمية الاجتماعية</t>
        </is>
      </c>
      <c r="H17" s="105" t="inlineStr">
        <is>
          <t>السياسات والاستراتيجيات الاقتصادية</t>
        </is>
      </c>
      <c r="I17" s="105" t="inlineStr">
        <is>
          <t>قيد التطوير</t>
        </is>
      </c>
      <c r="J17" s="105" t="inlineStr">
        <is>
          <t>الربع الرابع</t>
        </is>
      </c>
      <c r="K17" s="105" t="inlineStr">
        <is>
          <t>ديسمبر</t>
        </is>
      </c>
      <c r="L17" s="105" t="n">
        <v>2026</v>
      </c>
    </row>
    <row r="18">
      <c r="A18" s="101" t="inlineStr">
        <is>
          <t>Economic_Performace_Tracker.xlsx</t>
        </is>
      </c>
      <c r="B18" s="105" t="inlineStr">
        <is>
          <t>مستجد</t>
        </is>
      </c>
      <c r="C18" t="inlineStr">
        <is>
          <t>مدير توضيحي 3</t>
        </is>
      </c>
      <c r="D18" t="inlineStr">
        <is>
          <t>موضوع توضيحي 017</t>
        </is>
      </c>
      <c r="E18" s="105" t="inlineStr">
        <is>
          <t>مؤسسة دبي للمستقبل</t>
        </is>
      </c>
      <c r="F18" s="101" t="n"/>
      <c r="G18" s="105" t="inlineStr">
        <is>
          <t>الاقتصاد والتنمية الاجتماعية</t>
        </is>
      </c>
      <c r="H18" s="105" t="inlineStr">
        <is>
          <t>السياسات والاستراتيجيات الاقتصادية</t>
        </is>
      </c>
      <c r="I18" s="105" t="inlineStr">
        <is>
          <t>قيد التطوير</t>
        </is>
      </c>
      <c r="J18" s="105" t="inlineStr">
        <is>
          <t>الربع الرابع</t>
        </is>
      </c>
      <c r="K18" s="105" t="inlineStr">
        <is>
          <t>نوفمبر</t>
        </is>
      </c>
      <c r="L18" s="105" t="n">
        <v>2026</v>
      </c>
    </row>
    <row r="19">
      <c r="A19" s="101" t="inlineStr">
        <is>
          <t>Economic_Performace_Tracker.xlsx</t>
        </is>
      </c>
      <c r="B19" s="105" t="inlineStr">
        <is>
          <t>مستجد</t>
        </is>
      </c>
      <c r="C19" t="inlineStr">
        <is>
          <t>مدير توضيحي 1</t>
        </is>
      </c>
      <c r="D19" t="inlineStr">
        <is>
          <t>موضوع توضيحي 018</t>
        </is>
      </c>
      <c r="E19" s="105" t="inlineStr">
        <is>
          <t>هيئة دبي الرقمية</t>
        </is>
      </c>
      <c r="F19" s="101" t="n"/>
      <c r="G19" s="105" t="inlineStr">
        <is>
          <t>الاقتصاد والتنمية الاجتماعية</t>
        </is>
      </c>
      <c r="H19" s="105" t="inlineStr">
        <is>
          <t>السياسات والاستراتيجيات الاقتصادية</t>
        </is>
      </c>
      <c r="I19" s="105" t="inlineStr">
        <is>
          <t>منجز</t>
        </is>
      </c>
      <c r="J19" s="105" t="inlineStr">
        <is>
          <t>الربع الثاني</t>
        </is>
      </c>
      <c r="K19" s="105" t="inlineStr">
        <is>
          <t>يونيو</t>
        </is>
      </c>
      <c r="L19" s="105" t="n">
        <v>2026</v>
      </c>
    </row>
    <row r="20">
      <c r="A20" s="101" t="inlineStr">
        <is>
          <t>Economic_Performace_Tracker.xlsx</t>
        </is>
      </c>
      <c r="B20" s="105" t="inlineStr">
        <is>
          <t>مستجد</t>
        </is>
      </c>
      <c r="C20" t="inlineStr">
        <is>
          <t>مدير توضيحي 2</t>
        </is>
      </c>
      <c r="D20" t="inlineStr">
        <is>
          <t>موضوع توضيحي 019</t>
        </is>
      </c>
      <c r="E20" s="105" t="inlineStr">
        <is>
          <t>هيئة دبي الرقمية</t>
        </is>
      </c>
      <c r="F20" s="101" t="n"/>
      <c r="G20" s="105" t="inlineStr">
        <is>
          <t>الاقتصاد والتنمية الاجتماعية</t>
        </is>
      </c>
      <c r="H20" s="105" t="inlineStr">
        <is>
          <t>السياسات والاستراتيجيات الاقتصادية</t>
        </is>
      </c>
      <c r="I20" s="105" t="inlineStr">
        <is>
          <t>جاهز للعرض</t>
        </is>
      </c>
      <c r="J20" s="105" t="inlineStr">
        <is>
          <t>الربع الثالث</t>
        </is>
      </c>
      <c r="K20" s="105" t="inlineStr">
        <is>
          <t>سبتمبر</t>
        </is>
      </c>
      <c r="L20" s="105" t="n">
        <v>2026</v>
      </c>
      <c r="O20" s="105" t="inlineStr">
        <is>
          <t>5 أكتوبر 2026</t>
        </is>
      </c>
    </row>
    <row r="21">
      <c r="A21" s="101" t="inlineStr">
        <is>
          <t>Economic_Performace_Tracker.xlsx</t>
        </is>
      </c>
      <c r="B21" s="105" t="inlineStr">
        <is>
          <t>مستجد</t>
        </is>
      </c>
      <c r="C21" t="inlineStr">
        <is>
          <t>مدير توضيحي 3</t>
        </is>
      </c>
      <c r="D21" t="inlineStr">
        <is>
          <t>موضوع توضيحي 020</t>
        </is>
      </c>
      <c r="E21" s="105" t="inlineStr">
        <is>
          <t>دائرة الاقتصاد والسياحة بدبي</t>
        </is>
      </c>
      <c r="F21" s="101" t="n"/>
      <c r="G21" s="105" t="inlineStr">
        <is>
          <t>الاقتصاد والتنمية الاجتماعية</t>
        </is>
      </c>
      <c r="H21" s="105" t="inlineStr">
        <is>
          <t>السياسات والاستراتيجيات الاقتصادية</t>
        </is>
      </c>
      <c r="I21" s="105" t="inlineStr">
        <is>
          <t>جاهز للعرض</t>
        </is>
      </c>
      <c r="J21" s="105" t="inlineStr">
        <is>
          <t>الربع الثالث</t>
        </is>
      </c>
      <c r="K21" s="105" t="inlineStr">
        <is>
          <t>سبتمبر</t>
        </is>
      </c>
      <c r="L21" s="105" t="n">
        <v>2026</v>
      </c>
      <c r="O21" s="105" t="inlineStr">
        <is>
          <t>5 أكتوبر 2026</t>
        </is>
      </c>
    </row>
    <row r="22">
      <c r="A22" s="101" t="inlineStr">
        <is>
          <t>Economic_Performace_Tracker.xlsx</t>
        </is>
      </c>
      <c r="B22" s="105" t="inlineStr">
        <is>
          <t>مستجد</t>
        </is>
      </c>
      <c r="C22" t="inlineStr">
        <is>
          <t>مدير توضيحي 1</t>
        </is>
      </c>
      <c r="D22" t="inlineStr">
        <is>
          <t>موضوع توضيحي 021</t>
        </is>
      </c>
      <c r="E22" s="105" t="inlineStr">
        <is>
          <t>الأمانة العامة للمجلس التنفيذي</t>
        </is>
      </c>
      <c r="F22" s="101" t="n"/>
      <c r="G22" s="105" t="inlineStr">
        <is>
          <t>الاقتصاد والتنمية الاجتماعية</t>
        </is>
      </c>
      <c r="H22" s="105" t="inlineStr">
        <is>
          <t>السياسات والاستراتيجيات الاقتصادية</t>
        </is>
      </c>
      <c r="I22" s="105" t="inlineStr">
        <is>
          <t>جاهز للعرض</t>
        </is>
      </c>
      <c r="J22" s="105" t="inlineStr">
        <is>
          <t>الربع الثالث</t>
        </is>
      </c>
      <c r="K22" s="105" t="inlineStr">
        <is>
          <t>سبتمبر</t>
        </is>
      </c>
      <c r="L22" s="105" t="n">
        <v>2026</v>
      </c>
      <c r="O22" s="105" t="inlineStr">
        <is>
          <t>5 أكتوبر 2026</t>
        </is>
      </c>
    </row>
    <row r="23">
      <c r="A23" s="101" t="inlineStr">
        <is>
          <t>Governance_Performace_Tracker.xlsx</t>
        </is>
      </c>
      <c r="B23" s="105" t="inlineStr">
        <is>
          <t>الأجندة السنوية</t>
        </is>
      </c>
      <c r="C23" t="inlineStr">
        <is>
          <t>مدير توضيحي 2</t>
        </is>
      </c>
      <c r="D23" t="inlineStr">
        <is>
          <t>موضوع توضيحي 022</t>
        </is>
      </c>
      <c r="E23" s="105" t="inlineStr">
        <is>
          <t>هيئة دبي الرقمية</t>
        </is>
      </c>
      <c r="F23" s="101" t="n"/>
      <c r="G23" s="105" t="inlineStr">
        <is>
          <t>الحوكمة</t>
        </is>
      </c>
      <c r="H23" s="105" t="inlineStr">
        <is>
          <t>الحوكمة</t>
        </is>
      </c>
      <c r="I23" s="105" t="inlineStr">
        <is>
          <t>قيد التطوير</t>
        </is>
      </c>
      <c r="J23" s="105" t="inlineStr">
        <is>
          <t>الربع الثالث</t>
        </is>
      </c>
      <c r="K23" s="105" t="inlineStr">
        <is>
          <t>سبتمبر</t>
        </is>
      </c>
      <c r="L23" s="105" t="n">
        <v>2026</v>
      </c>
      <c r="M23" s="105" t="inlineStr">
        <is>
          <t>ديسمبر</t>
        </is>
      </c>
    </row>
    <row r="24">
      <c r="A24" s="101" t="inlineStr">
        <is>
          <t>Governance_Performace_Tracker.xlsx</t>
        </is>
      </c>
      <c r="B24" s="105" t="inlineStr">
        <is>
          <t>الأجندة السنوية</t>
        </is>
      </c>
      <c r="C24" t="inlineStr">
        <is>
          <t>مدير توضيحي 3</t>
        </is>
      </c>
      <c r="D24" t="inlineStr">
        <is>
          <t>موضوع توضيحي 023</t>
        </is>
      </c>
      <c r="E24" s="105" t="inlineStr">
        <is>
          <t>هيئة دبي الرقمية</t>
        </is>
      </c>
      <c r="F24" s="101" t="n"/>
      <c r="G24" s="105" t="inlineStr">
        <is>
          <t>الحوكمة</t>
        </is>
      </c>
      <c r="H24" s="105" t="inlineStr">
        <is>
          <t>الحوكمة</t>
        </is>
      </c>
      <c r="I24" s="105" t="inlineStr">
        <is>
          <t>منجز</t>
        </is>
      </c>
      <c r="J24" s="105" t="inlineStr">
        <is>
          <t>الربع الأول</t>
        </is>
      </c>
      <c r="K24" s="105" t="inlineStr">
        <is>
          <t>مارس</t>
        </is>
      </c>
      <c r="L24" s="105" t="n">
        <v>2026</v>
      </c>
      <c r="M24" s="105" t="inlineStr">
        <is>
          <t>يونيو</t>
        </is>
      </c>
      <c r="O24" s="105" t="n">
        <v>46192</v>
      </c>
    </row>
    <row r="25">
      <c r="A25" s="101" t="inlineStr">
        <is>
          <t>Governance_Performace_Tracker.xlsx</t>
        </is>
      </c>
      <c r="B25" s="105" t="inlineStr">
        <is>
          <t>الأجندة السنوية</t>
        </is>
      </c>
      <c r="C25" t="inlineStr">
        <is>
          <t>مدير توضيحي 1</t>
        </is>
      </c>
      <c r="D25" t="inlineStr">
        <is>
          <t>موضوع توضيحي 024</t>
        </is>
      </c>
      <c r="E25" s="105" t="inlineStr">
        <is>
          <t>هيئة دبي الرقمية</t>
        </is>
      </c>
      <c r="F25" s="101" t="n"/>
      <c r="G25" s="105" t="inlineStr">
        <is>
          <t>الحوكمة</t>
        </is>
      </c>
      <c r="H25" s="105" t="inlineStr">
        <is>
          <t>الحوكمة</t>
        </is>
      </c>
      <c r="I25" s="105" t="inlineStr">
        <is>
          <t>منجز</t>
        </is>
      </c>
      <c r="J25" s="105" t="inlineStr">
        <is>
          <t>الربع الأول</t>
        </is>
      </c>
      <c r="K25" s="105" t="inlineStr">
        <is>
          <t>يناير</t>
        </is>
      </c>
      <c r="L25" s="105" t="n">
        <v>2026</v>
      </c>
    </row>
    <row r="26">
      <c r="A26" s="101" t="inlineStr">
        <is>
          <t>Governance_Performace_Tracker.xlsx</t>
        </is>
      </c>
      <c r="B26" s="105" t="inlineStr">
        <is>
          <t>الأجندة السنوية</t>
        </is>
      </c>
      <c r="C26" t="inlineStr">
        <is>
          <t>مدير توضيحي 2</t>
        </is>
      </c>
      <c r="D26" t="inlineStr">
        <is>
          <t>موضوع توضيحي 025</t>
        </is>
      </c>
      <c r="E26" s="105" t="inlineStr">
        <is>
          <t>هيئة دبي الرقمية</t>
        </is>
      </c>
      <c r="F26" s="101" t="n"/>
      <c r="G26" s="105" t="inlineStr">
        <is>
          <t>الحوكمة</t>
        </is>
      </c>
      <c r="H26" s="105" t="inlineStr">
        <is>
          <t>الحوكمة</t>
        </is>
      </c>
      <c r="I26" s="105" t="inlineStr">
        <is>
          <t>قيد التطوير</t>
        </is>
      </c>
      <c r="J26" s="105" t="inlineStr">
        <is>
          <t>الربع الرابع</t>
        </is>
      </c>
      <c r="K26" s="105" t="inlineStr">
        <is>
          <t>ديسمبر</t>
        </is>
      </c>
      <c r="L26" s="105" t="n">
        <v>2026</v>
      </c>
    </row>
    <row r="27">
      <c r="A27" s="101" t="inlineStr">
        <is>
          <t>Governance_Performace_Tracker.xlsx</t>
        </is>
      </c>
      <c r="B27" s="105" t="inlineStr">
        <is>
          <t>مستجد</t>
        </is>
      </c>
      <c r="C27" t="inlineStr">
        <is>
          <t>مدير توضيحي 3</t>
        </is>
      </c>
      <c r="D27" t="inlineStr">
        <is>
          <t>موضوع توضيحي 026</t>
        </is>
      </c>
      <c r="E27" s="105" t="inlineStr">
        <is>
          <t>هيئة دبي الرقمية</t>
        </is>
      </c>
      <c r="F27" s="101" t="n"/>
      <c r="G27" s="105" t="inlineStr">
        <is>
          <t>الحوكمة</t>
        </is>
      </c>
      <c r="H27" s="105" t="inlineStr">
        <is>
          <t>الحوكمة</t>
        </is>
      </c>
      <c r="I27" s="105" t="inlineStr">
        <is>
          <t>قيد المراجعة</t>
        </is>
      </c>
      <c r="J27" s="105" t="inlineStr">
        <is>
          <t>الربع الثالث</t>
        </is>
      </c>
      <c r="K27" s="105" t="inlineStr">
        <is>
          <t>سبتمبر</t>
        </is>
      </c>
      <c r="L27" s="105" t="n">
        <v>2026</v>
      </c>
    </row>
    <row r="28">
      <c r="A28" s="101" t="inlineStr">
        <is>
          <t>Social_Performace_Tracker.xlsx</t>
        </is>
      </c>
      <c r="B28" s="105" t="inlineStr">
        <is>
          <t>الأجندة السنوية</t>
        </is>
      </c>
      <c r="C28" t="inlineStr">
        <is>
          <t>مدير توضيحي 1</t>
        </is>
      </c>
      <c r="D28" t="inlineStr">
        <is>
          <t>موضوع توضيحي 027</t>
        </is>
      </c>
      <c r="E28" s="105" t="inlineStr">
        <is>
          <t>هيئة تنمية المجتمع</t>
        </is>
      </c>
      <c r="F28" s="101" t="n"/>
      <c r="G28" s="105" t="inlineStr">
        <is>
          <t>الاقتصاد والتنمية الاجتماعية</t>
        </is>
      </c>
      <c r="H28" s="105" t="inlineStr">
        <is>
          <t>السياسات والاستراتيجيات الاجتماعية</t>
        </is>
      </c>
      <c r="I28" s="105" t="inlineStr">
        <is>
          <t>منجز</t>
        </is>
      </c>
      <c r="J28" s="105" t="inlineStr">
        <is>
          <t>الربع الأول</t>
        </is>
      </c>
      <c r="L28" s="105" t="n">
        <v>2026</v>
      </c>
    </row>
    <row r="29">
      <c r="A29" s="101" t="inlineStr">
        <is>
          <t>Social_Performace_Tracker.xlsx</t>
        </is>
      </c>
      <c r="B29" s="105" t="inlineStr">
        <is>
          <t>الأجندة السنوية</t>
        </is>
      </c>
      <c r="C29" t="inlineStr">
        <is>
          <t>مدير توضيحي 2</t>
        </is>
      </c>
      <c r="D29" t="inlineStr">
        <is>
          <t>موضوع توضيحي 028</t>
        </is>
      </c>
      <c r="E29" s="105" t="inlineStr">
        <is>
          <t>هيئة المعرفة والتنمية البشرية</t>
        </is>
      </c>
      <c r="F29" s="101" t="n"/>
      <c r="G29" s="105" t="inlineStr">
        <is>
          <t>الاقتصاد والتنمية الاجتماعية</t>
        </is>
      </c>
      <c r="H29" s="105" t="inlineStr">
        <is>
          <t>السياسات والاستراتيجيات الاجتماعية</t>
        </is>
      </c>
      <c r="I29" s="105" t="inlineStr">
        <is>
          <t>منجز</t>
        </is>
      </c>
      <c r="J29" s="105" t="inlineStr">
        <is>
          <t>الربع الأول</t>
        </is>
      </c>
      <c r="K29" s="105" t="inlineStr">
        <is>
          <t>مارس</t>
        </is>
      </c>
      <c r="L29" s="105" t="n">
        <v>2026</v>
      </c>
    </row>
    <row r="30">
      <c r="A30" s="101" t="inlineStr">
        <is>
          <t>Social_Performace_Tracker.xlsx</t>
        </is>
      </c>
      <c r="B30" s="105" t="inlineStr">
        <is>
          <t>الأجندة السنوية</t>
        </is>
      </c>
      <c r="C30" t="inlineStr">
        <is>
          <t>مدير توضيحي 3</t>
        </is>
      </c>
      <c r="D30" t="inlineStr">
        <is>
          <t>موضوع توضيحي 029</t>
        </is>
      </c>
      <c r="E30" s="105" t="inlineStr">
        <is>
          <t>هيئة تنمية المجتمع</t>
        </is>
      </c>
      <c r="F30" s="101" t="n"/>
      <c r="G30" s="105" t="inlineStr">
        <is>
          <t>الاقتصاد والتنمية الاجتماعية</t>
        </is>
      </c>
      <c r="H30" s="105" t="inlineStr">
        <is>
          <t>السياسات والاستراتيجيات الاجتماعية</t>
        </is>
      </c>
      <c r="I30" s="105" t="inlineStr">
        <is>
          <t>منجز</t>
        </is>
      </c>
      <c r="J30" s="105" t="inlineStr">
        <is>
          <t>الربع الأول</t>
        </is>
      </c>
      <c r="K30" s="105" t="inlineStr">
        <is>
          <t>يناير</t>
        </is>
      </c>
      <c r="L30" s="105" t="n">
        <v>2026</v>
      </c>
    </row>
    <row r="31">
      <c r="A31" s="101" t="inlineStr">
        <is>
          <t>Social_Performace_Tracker.xlsx</t>
        </is>
      </c>
      <c r="B31" s="105" t="inlineStr">
        <is>
          <t>الأجندة السنوية</t>
        </is>
      </c>
      <c r="C31" t="inlineStr">
        <is>
          <t>مدير توضيحي 1</t>
        </is>
      </c>
      <c r="D31" t="inlineStr">
        <is>
          <t>موضوع توضيحي 030</t>
        </is>
      </c>
      <c r="E31" s="105" t="inlineStr">
        <is>
          <t>دائرة الموارد البشرية لحكومة دبي</t>
        </is>
      </c>
      <c r="F31" s="101" t="n"/>
      <c r="G31" s="105" t="inlineStr">
        <is>
          <t>الاقتصاد والتنمية الاجتماعية</t>
        </is>
      </c>
      <c r="H31" s="105" t="inlineStr">
        <is>
          <t>السياسات والاستراتيجيات الاجتماعية</t>
        </is>
      </c>
      <c r="I31" s="105" t="inlineStr">
        <is>
          <t>قيد التطوير</t>
        </is>
      </c>
      <c r="J31" s="105" t="inlineStr">
        <is>
          <t>الربع الأول</t>
        </is>
      </c>
      <c r="L31" s="105" t="n">
        <v>2026</v>
      </c>
      <c r="M31" s="105" t="inlineStr">
        <is>
          <t>ديسمبر</t>
        </is>
      </c>
    </row>
    <row r="32">
      <c r="A32" s="101" t="inlineStr">
        <is>
          <t>Social_Performace_Tracker.xlsx</t>
        </is>
      </c>
      <c r="B32" s="105" t="inlineStr">
        <is>
          <t>الأجندة السنوية</t>
        </is>
      </c>
      <c r="C32" t="inlineStr">
        <is>
          <t>مدير توضيحي 2</t>
        </is>
      </c>
      <c r="D32" t="inlineStr">
        <is>
          <t>موضوع توضيحي 031</t>
        </is>
      </c>
      <c r="E32" s="105" t="inlineStr">
        <is>
          <t>هيئة الثقافة والفنون في دبي</t>
        </is>
      </c>
      <c r="F32" s="101" t="n"/>
      <c r="G32" s="105" t="inlineStr">
        <is>
          <t>الاقتصاد والتنمية الاجتماعية</t>
        </is>
      </c>
      <c r="H32" s="105" t="inlineStr">
        <is>
          <t>السياسات والاستراتيجيات الاجتماعية</t>
        </is>
      </c>
      <c r="I32" s="105" t="inlineStr">
        <is>
          <t>منجز</t>
        </is>
      </c>
      <c r="J32" s="105" t="inlineStr">
        <is>
          <t>الربع الأول</t>
        </is>
      </c>
      <c r="K32" s="105" t="inlineStr">
        <is>
          <t>مارس</t>
        </is>
      </c>
      <c r="L32" s="105" t="n">
        <v>2026</v>
      </c>
    </row>
    <row r="33">
      <c r="A33" s="101" t="inlineStr">
        <is>
          <t>Social_Performace_Tracker.xlsx</t>
        </is>
      </c>
      <c r="B33" s="105" t="inlineStr">
        <is>
          <t>الأجندة السنوية</t>
        </is>
      </c>
      <c r="C33" t="inlineStr">
        <is>
          <t>مدير توضيحي 3</t>
        </is>
      </c>
      <c r="D33" t="inlineStr">
        <is>
          <t>موضوع توضيحي 032</t>
        </is>
      </c>
      <c r="E33" s="105" t="inlineStr">
        <is>
          <t>مؤسسة محمد بن راشد للإسكان</t>
        </is>
      </c>
      <c r="F33" s="101" t="n"/>
      <c r="G33" s="105" t="inlineStr">
        <is>
          <t>الاقتصاد والتنمية الاجتماعية</t>
        </is>
      </c>
      <c r="H33" s="105" t="inlineStr">
        <is>
          <t>السياسات والاستراتيجيات الاجتماعية</t>
        </is>
      </c>
      <c r="I33" s="105" t="inlineStr">
        <is>
          <t>قيد التطوير</t>
        </is>
      </c>
      <c r="J33" s="105" t="inlineStr">
        <is>
          <t>الربع الثالث</t>
        </is>
      </c>
      <c r="L33" s="105" t="n">
        <v>2026</v>
      </c>
      <c r="M33" s="105" t="inlineStr">
        <is>
          <t>أكتوبر</t>
        </is>
      </c>
    </row>
    <row r="34">
      <c r="A34" s="101" t="inlineStr">
        <is>
          <t>Social_Performace_Tracker.xlsx</t>
        </is>
      </c>
      <c r="B34" s="105" t="inlineStr">
        <is>
          <t>الأجندة السنوية</t>
        </is>
      </c>
      <c r="C34" t="inlineStr">
        <is>
          <t>مدير توضيحي 1</t>
        </is>
      </c>
      <c r="D34" t="inlineStr">
        <is>
          <t>موضوع توضيحي 033</t>
        </is>
      </c>
      <c r="E34" s="105" t="inlineStr">
        <is>
          <t>هيئة الثقافة والفنون في دبي</t>
        </is>
      </c>
      <c r="F34" s="101" t="n"/>
      <c r="G34" s="105" t="inlineStr">
        <is>
          <t>الاقتصاد والتنمية الاجتماعية</t>
        </is>
      </c>
      <c r="H34" s="105" t="inlineStr">
        <is>
          <t>السياسات والاستراتيجيات الاجتماعية</t>
        </is>
      </c>
      <c r="I34" s="105" t="inlineStr">
        <is>
          <t>قيد التطوير</t>
        </is>
      </c>
      <c r="J34" s="105" t="inlineStr">
        <is>
          <t>الربع الثالث</t>
        </is>
      </c>
      <c r="K34" s="105" t="inlineStr">
        <is>
          <t>يونيو</t>
        </is>
      </c>
      <c r="L34" s="105" t="n">
        <v>2026</v>
      </c>
      <c r="M34" s="105" t="inlineStr">
        <is>
          <t>نوفمبر</t>
        </is>
      </c>
    </row>
    <row r="35">
      <c r="A35" s="101" t="inlineStr">
        <is>
          <t>Social_Performace_Tracker.xlsx</t>
        </is>
      </c>
      <c r="B35" s="105" t="inlineStr">
        <is>
          <t>الأجندة السنوية</t>
        </is>
      </c>
      <c r="C35" t="inlineStr">
        <is>
          <t>مدير توضيحي 2</t>
        </is>
      </c>
      <c r="D35" t="inlineStr">
        <is>
          <t>موضوع توضيحي 034</t>
        </is>
      </c>
      <c r="E35" s="105" t="inlineStr">
        <is>
          <t>هيئة الثقافة والفنون في دبي</t>
        </is>
      </c>
      <c r="F35" s="101" t="n"/>
      <c r="G35" s="105" t="inlineStr">
        <is>
          <t>الاقتصاد والتنمية الاجتماعية</t>
        </is>
      </c>
      <c r="H35" s="105" t="inlineStr">
        <is>
          <t>السياسات والاستراتيجيات الاجتماعية</t>
        </is>
      </c>
      <c r="I35" s="105" t="inlineStr">
        <is>
          <t>قيد التطوير</t>
        </is>
      </c>
      <c r="J35" s="105" t="inlineStr">
        <is>
          <t>الربع الثالث</t>
        </is>
      </c>
      <c r="K35" s="105" t="inlineStr">
        <is>
          <t>سبتمبر</t>
        </is>
      </c>
      <c r="L35" s="105" t="n">
        <v>2026</v>
      </c>
      <c r="M35" s="105" t="inlineStr">
        <is>
          <t>سبتمبر</t>
        </is>
      </c>
    </row>
    <row r="36">
      <c r="A36" s="101" t="inlineStr">
        <is>
          <t>Social_Performace_Tracker.xlsx</t>
        </is>
      </c>
      <c r="B36" s="105" t="inlineStr">
        <is>
          <t>الأجندة السنوية</t>
        </is>
      </c>
      <c r="C36" t="inlineStr">
        <is>
          <t>مدير توضيحي 3</t>
        </is>
      </c>
      <c r="D36" t="inlineStr">
        <is>
          <t>موضوع توضيحي 035</t>
        </is>
      </c>
      <c r="E36" s="105" t="inlineStr">
        <is>
          <t>مؤسسة الأوقاف وإدارة أموال القُصّر في دبي</t>
        </is>
      </c>
      <c r="F36" s="101" t="n"/>
      <c r="G36" s="105" t="inlineStr">
        <is>
          <t>الاقتصاد والتنمية الاجتماعية</t>
        </is>
      </c>
      <c r="H36" s="105" t="inlineStr">
        <is>
          <t>السياسات والاستراتيجيات الاجتماعية</t>
        </is>
      </c>
      <c r="I36" s="105" t="inlineStr">
        <is>
          <t>قيد التطوير</t>
        </is>
      </c>
      <c r="J36" s="105" t="inlineStr">
        <is>
          <t>الربع الثالث</t>
        </is>
      </c>
      <c r="K36" s="105" t="inlineStr">
        <is>
          <t>يوليو</t>
        </is>
      </c>
      <c r="L36" s="105" t="n">
        <v>2026</v>
      </c>
    </row>
    <row r="37">
      <c r="A37" s="101" t="inlineStr">
        <is>
          <t>Social_Performace_Tracker.xlsx</t>
        </is>
      </c>
      <c r="B37" s="105" t="inlineStr">
        <is>
          <t>الأجندة السنوية</t>
        </is>
      </c>
      <c r="C37" t="inlineStr">
        <is>
          <t>مدير توضيحي 1</t>
        </is>
      </c>
      <c r="D37" t="inlineStr">
        <is>
          <t>موضوع توضيحي 036</t>
        </is>
      </c>
      <c r="E37" s="105" t="inlineStr">
        <is>
          <t>مؤسسة محمد بن راشد للإسكان</t>
        </is>
      </c>
      <c r="F37" s="101" t="n"/>
      <c r="G37" s="105" t="inlineStr">
        <is>
          <t>الاقتصاد والتنمية الاجتماعية</t>
        </is>
      </c>
      <c r="H37" s="105" t="inlineStr">
        <is>
          <t>السياسات والاستراتيجيات الاجتماعية</t>
        </is>
      </c>
      <c r="I37" s="105" t="inlineStr">
        <is>
          <t>قيد التطوير</t>
        </is>
      </c>
      <c r="J37" s="105" t="inlineStr">
        <is>
          <t>الربع الثالث</t>
        </is>
      </c>
      <c r="L37" s="105" t="n">
        <v>2026</v>
      </c>
      <c r="M37" s="105" t="inlineStr">
        <is>
          <t>أكتوبر</t>
        </is>
      </c>
    </row>
    <row r="38">
      <c r="A38" s="101" t="inlineStr">
        <is>
          <t>Social_Performace_Tracker.xlsx</t>
        </is>
      </c>
      <c r="B38" s="105" t="inlineStr">
        <is>
          <t>الأجندة السنوية</t>
        </is>
      </c>
      <c r="C38" t="inlineStr">
        <is>
          <t>مدير توضيحي 2</t>
        </is>
      </c>
      <c r="D38" t="inlineStr">
        <is>
          <t>موضوع توضيحي 037</t>
        </is>
      </c>
      <c r="E38" s="105" t="inlineStr">
        <is>
          <t>هيئة المعرفة والتنمية البشرية</t>
        </is>
      </c>
      <c r="F38" s="101" t="n"/>
      <c r="G38" s="105" t="inlineStr">
        <is>
          <t>الاقتصاد والتنمية الاجتماعية</t>
        </is>
      </c>
      <c r="H38" s="105" t="inlineStr">
        <is>
          <t>السياسات والاستراتيجيات الاجتماعية</t>
        </is>
      </c>
      <c r="I38" s="105" t="inlineStr">
        <is>
          <t>قيد التطوير</t>
        </is>
      </c>
      <c r="J38" s="105" t="inlineStr">
        <is>
          <t>الربع الرابع</t>
        </is>
      </c>
      <c r="K38" s="105" t="inlineStr">
        <is>
          <t>يونيو</t>
        </is>
      </c>
      <c r="L38" s="105" t="n">
        <v>2026</v>
      </c>
      <c r="M38" s="105" t="inlineStr">
        <is>
          <t>نوفمبر</t>
        </is>
      </c>
    </row>
    <row r="39">
      <c r="A39" s="101" t="inlineStr">
        <is>
          <t>Social_Performace_Tracker.xlsx</t>
        </is>
      </c>
      <c r="B39" s="105" t="inlineStr">
        <is>
          <t>الأجندة السنوية</t>
        </is>
      </c>
      <c r="C39" t="inlineStr">
        <is>
          <t>مدير توضيحي 3</t>
        </is>
      </c>
      <c r="D39" t="inlineStr">
        <is>
          <t>موضوع توضيحي 038</t>
        </is>
      </c>
      <c r="E39" s="105" t="inlineStr">
        <is>
          <t>هيئة تنمية المجتمع</t>
        </is>
      </c>
      <c r="F39" s="101" t="n"/>
      <c r="G39" s="105" t="inlineStr">
        <is>
          <t>الاقتصاد والتنمية الاجتماعية</t>
        </is>
      </c>
      <c r="H39" s="105" t="inlineStr">
        <is>
          <t>السياسات والاستراتيجيات الاجتماعية</t>
        </is>
      </c>
      <c r="I39" s="105" t="inlineStr">
        <is>
          <t>قيد التطوير</t>
        </is>
      </c>
      <c r="J39" s="105" t="inlineStr">
        <is>
          <t>الربع الثاني</t>
        </is>
      </c>
      <c r="K39" s="105" t="inlineStr">
        <is>
          <t>يونيو</t>
        </is>
      </c>
      <c r="L39" s="105" t="n">
        <v>2026</v>
      </c>
    </row>
    <row r="40">
      <c r="A40" s="101" t="inlineStr">
        <is>
          <t>Social_Performace_Tracker.xlsx</t>
        </is>
      </c>
      <c r="B40" s="105" t="inlineStr">
        <is>
          <t>الأجندة السنوية</t>
        </is>
      </c>
      <c r="C40" t="inlineStr">
        <is>
          <t>مدير توضيحي 1</t>
        </is>
      </c>
      <c r="D40" t="inlineStr">
        <is>
          <t>موضوع توضيحي 039</t>
        </is>
      </c>
      <c r="E40" s="105" t="inlineStr">
        <is>
          <t>دائرة الموارد البشرية لحكومة دبي</t>
        </is>
      </c>
      <c r="F40" s="101" t="n"/>
      <c r="G40" s="105" t="inlineStr">
        <is>
          <t>الاقتصاد والتنمية الاجتماعية</t>
        </is>
      </c>
      <c r="H40" s="105" t="inlineStr">
        <is>
          <t>السياسات والاستراتيجيات الاجتماعية</t>
        </is>
      </c>
      <c r="I40" s="105" t="inlineStr">
        <is>
          <t>قيد التطوير</t>
        </is>
      </c>
      <c r="J40" s="105" t="inlineStr">
        <is>
          <t>الربع الثاني</t>
        </is>
      </c>
      <c r="K40" s="105" t="inlineStr">
        <is>
          <t>يونيو</t>
        </is>
      </c>
      <c r="L40" s="105" t="n">
        <v>2026</v>
      </c>
      <c r="M40" s="105" t="inlineStr">
        <is>
          <t>نوفمبر</t>
        </is>
      </c>
    </row>
    <row r="41">
      <c r="A41" s="101" t="inlineStr">
        <is>
          <t>Social_Performace_Tracker.xlsx</t>
        </is>
      </c>
      <c r="B41" s="105" t="inlineStr">
        <is>
          <t>الأجندة السنوية</t>
        </is>
      </c>
      <c r="C41" t="inlineStr">
        <is>
          <t>مدير توضيحي 2</t>
        </is>
      </c>
      <c r="D41" t="inlineStr">
        <is>
          <t>موضوع توضيحي 040</t>
        </is>
      </c>
      <c r="E41" s="105" t="inlineStr">
        <is>
          <t>دائرة الموارد البشرية لحكومة دبي</t>
        </is>
      </c>
      <c r="F41" s="101" t="n"/>
      <c r="G41" s="105" t="inlineStr">
        <is>
          <t>الاقتصاد والتنمية الاجتماعية</t>
        </is>
      </c>
      <c r="H41" s="105" t="inlineStr">
        <is>
          <t>السياسات والاستراتيجيات الاجتماعية</t>
        </is>
      </c>
      <c r="I41" s="105" t="inlineStr">
        <is>
          <t>قيد التطوير</t>
        </is>
      </c>
      <c r="J41" s="105" t="inlineStr">
        <is>
          <t>الربع الثاني</t>
        </is>
      </c>
      <c r="L41" s="105" t="n">
        <v>2026</v>
      </c>
      <c r="M41" s="105" t="inlineStr">
        <is>
          <t>نوفمبر</t>
        </is>
      </c>
    </row>
    <row r="42">
      <c r="A42" s="101" t="inlineStr">
        <is>
          <t>Social_Performace_Tracker.xlsx</t>
        </is>
      </c>
      <c r="B42" s="105" t="inlineStr">
        <is>
          <t>الأجندة السنوية</t>
        </is>
      </c>
      <c r="C42" t="inlineStr">
        <is>
          <t>مدير توضيحي 3</t>
        </is>
      </c>
      <c r="D42" t="inlineStr">
        <is>
          <t>موضوع توضيحي 041</t>
        </is>
      </c>
      <c r="E42" s="105" t="inlineStr">
        <is>
          <t>هيئة تنمية المجتمع</t>
        </is>
      </c>
      <c r="F42" s="101" t="n"/>
      <c r="G42" s="105" t="inlineStr">
        <is>
          <t>الاقتصاد والتنمية الاجتماعية</t>
        </is>
      </c>
      <c r="H42" s="105" t="inlineStr">
        <is>
          <t>السياسات والاستراتيجيات الاجتماعية</t>
        </is>
      </c>
      <c r="I42" s="105" t="inlineStr">
        <is>
          <t>قيد التطوير</t>
        </is>
      </c>
      <c r="J42" s="105" t="inlineStr">
        <is>
          <t>الربع الثاني</t>
        </is>
      </c>
      <c r="K42" s="105" t="inlineStr">
        <is>
          <t>يونيو</t>
        </is>
      </c>
      <c r="L42" s="105" t="n">
        <v>2026</v>
      </c>
    </row>
    <row r="43">
      <c r="A43" s="101" t="inlineStr">
        <is>
          <t>Social_Performace_Tracker.xlsx</t>
        </is>
      </c>
      <c r="B43" s="105" t="inlineStr">
        <is>
          <t>الأجندة السنوية</t>
        </is>
      </c>
      <c r="C43" t="inlineStr">
        <is>
          <t>مدير توضيحي 1</t>
        </is>
      </c>
      <c r="D43" t="inlineStr">
        <is>
          <t>موضوع توضيحي 042</t>
        </is>
      </c>
      <c r="E43" s="105" t="inlineStr">
        <is>
          <t>هيئة الثقافة والفنون في دبي</t>
        </is>
      </c>
      <c r="F43" s="101" t="n"/>
      <c r="G43" s="105" t="inlineStr">
        <is>
          <t>الاقتصاد والتنمية الاجتماعية</t>
        </is>
      </c>
      <c r="H43" s="105" t="inlineStr">
        <is>
          <t>السياسات والاستراتيجيات الاجتماعية</t>
        </is>
      </c>
      <c r="I43" s="105" t="inlineStr">
        <is>
          <t>قيد التطوير</t>
        </is>
      </c>
      <c r="J43" s="105" t="inlineStr">
        <is>
          <t>الربع الثاني</t>
        </is>
      </c>
      <c r="K43" s="105" t="inlineStr">
        <is>
          <t>يونيو</t>
        </is>
      </c>
      <c r="L43" s="105" t="n">
        <v>2026</v>
      </c>
      <c r="M43" s="105" t="inlineStr">
        <is>
          <t>ديسمبر</t>
        </is>
      </c>
    </row>
    <row r="44">
      <c r="A44" s="101" t="inlineStr">
        <is>
          <t>Social_Performace_Tracker.xlsx</t>
        </is>
      </c>
      <c r="B44" s="105" t="inlineStr">
        <is>
          <t>الأجندة السنوية</t>
        </is>
      </c>
      <c r="C44" t="inlineStr">
        <is>
          <t>مدير توضيحي 2</t>
        </is>
      </c>
      <c r="D44" t="inlineStr">
        <is>
          <t>موضوع توضيحي 043</t>
        </is>
      </c>
      <c r="E44" s="105" t="inlineStr">
        <is>
          <t>هيئة الثقافة والفنون في دبي</t>
        </is>
      </c>
      <c r="F44" s="101" t="n"/>
      <c r="G44" s="105" t="inlineStr">
        <is>
          <t>الاقتصاد والتنمية الاجتماعية</t>
        </is>
      </c>
      <c r="H44" s="105" t="inlineStr">
        <is>
          <t>السياسات والاستراتيجيات الاجتماعية</t>
        </is>
      </c>
      <c r="I44" s="105" t="inlineStr">
        <is>
          <t>قيد التطوير</t>
        </is>
      </c>
      <c r="J44" s="105" t="inlineStr">
        <is>
          <t>الربع الثاني</t>
        </is>
      </c>
      <c r="K44" s="105" t="inlineStr">
        <is>
          <t>يونيو</t>
        </is>
      </c>
      <c r="L44" s="105" t="n">
        <v>2026</v>
      </c>
      <c r="M44" s="105" t="inlineStr">
        <is>
          <t>نوفمبر</t>
        </is>
      </c>
    </row>
    <row r="45">
      <c r="A45" s="101" t="inlineStr">
        <is>
          <t>Social_Performace_Tracker.xlsx</t>
        </is>
      </c>
      <c r="B45" s="105" t="inlineStr">
        <is>
          <t>الأجندة السنوية</t>
        </is>
      </c>
      <c r="C45" t="inlineStr">
        <is>
          <t>مدير توضيحي 3</t>
        </is>
      </c>
      <c r="D45" t="inlineStr">
        <is>
          <t>موضوع توضيحي 044</t>
        </is>
      </c>
      <c r="E45" s="105" t="inlineStr">
        <is>
          <t>دائرة الموارد البشرية لحكومة دبي</t>
        </is>
      </c>
      <c r="F45" s="101" t="n"/>
      <c r="G45" s="105" t="inlineStr">
        <is>
          <t>الاقتصاد والتنمية الاجتماعية</t>
        </is>
      </c>
      <c r="H45" s="105" t="inlineStr">
        <is>
          <t>السياسات والاستراتيجيات الاجتماعية</t>
        </is>
      </c>
      <c r="I45" s="105" t="inlineStr">
        <is>
          <t>قيد التطوير</t>
        </is>
      </c>
      <c r="J45" s="105" t="inlineStr">
        <is>
          <t>الربع الرابع</t>
        </is>
      </c>
      <c r="K45" s="105" t="inlineStr">
        <is>
          <t>ديسمبر</t>
        </is>
      </c>
      <c r="L45" s="105" t="n">
        <v>2026</v>
      </c>
    </row>
    <row r="46">
      <c r="A46" s="101" t="inlineStr">
        <is>
          <t>Social_Performace_Tracker.xlsx</t>
        </is>
      </c>
      <c r="B46" s="105" t="inlineStr">
        <is>
          <t>الأجندة السنوية</t>
        </is>
      </c>
      <c r="C46" t="inlineStr">
        <is>
          <t>مدير توضيحي 1</t>
        </is>
      </c>
      <c r="D46" t="inlineStr">
        <is>
          <t>موضوع توضيحي 045</t>
        </is>
      </c>
      <c r="E46" s="105" t="inlineStr">
        <is>
          <t>مؤسسة الأوقاف وإدارة أموال القُصّر في دبي</t>
        </is>
      </c>
      <c r="F46" s="101" t="n"/>
      <c r="G46" s="105" t="inlineStr">
        <is>
          <t>الاقتصاد والتنمية الاجتماعية</t>
        </is>
      </c>
      <c r="H46" s="105" t="inlineStr">
        <is>
          <t>السياسات والاستراتيجيات الاجتماعية</t>
        </is>
      </c>
      <c r="I46" s="105" t="inlineStr">
        <is>
          <t>قيد التطوير</t>
        </is>
      </c>
      <c r="J46" s="105" t="inlineStr">
        <is>
          <t>الربع الرابع</t>
        </is>
      </c>
      <c r="K46" s="105" t="inlineStr">
        <is>
          <t>سبتمبر</t>
        </is>
      </c>
      <c r="L46" s="105" t="n">
        <v>2026</v>
      </c>
      <c r="M46" s="105" t="inlineStr">
        <is>
          <t>سبتمبر</t>
        </is>
      </c>
    </row>
    <row r="47">
      <c r="A47" s="101" t="inlineStr">
        <is>
          <t>Social_Performace_Tracker.xlsx</t>
        </is>
      </c>
      <c r="B47" s="105" t="inlineStr">
        <is>
          <t>الأجندة السنوية</t>
        </is>
      </c>
      <c r="C47" t="inlineStr">
        <is>
          <t>مدير توضيحي 2</t>
        </is>
      </c>
      <c r="D47" t="inlineStr">
        <is>
          <t>موضوع توضيحي 046</t>
        </is>
      </c>
      <c r="E47" s="105" t="inlineStr">
        <is>
          <t>هيئة تنمية المجتمع</t>
        </is>
      </c>
      <c r="F47" s="101" t="n"/>
      <c r="G47" s="105" t="inlineStr">
        <is>
          <t>الاقتصاد والتنمية الاجتماعية</t>
        </is>
      </c>
      <c r="H47" s="105" t="inlineStr">
        <is>
          <t>السياسات والاستراتيجيات الاجتماعية</t>
        </is>
      </c>
      <c r="I47" s="105" t="inlineStr">
        <is>
          <t>قيد التطوير</t>
        </is>
      </c>
      <c r="J47" s="105" t="inlineStr">
        <is>
          <t>الربع الرابع</t>
        </is>
      </c>
      <c r="K47" s="105" t="inlineStr">
        <is>
          <t>أكتوبر</t>
        </is>
      </c>
      <c r="L47" s="105" t="n">
        <v>2026</v>
      </c>
    </row>
    <row r="48">
      <c r="A48" s="101" t="inlineStr">
        <is>
          <t>Social_Performace_Tracker.xlsx</t>
        </is>
      </c>
      <c r="B48" s="105" t="inlineStr">
        <is>
          <t>الأجندة السنوية</t>
        </is>
      </c>
      <c r="C48" t="inlineStr">
        <is>
          <t>مدير توضيحي 3</t>
        </is>
      </c>
      <c r="D48" t="inlineStr">
        <is>
          <t>موضوع توضيحي 047</t>
        </is>
      </c>
      <c r="E48" s="105" t="inlineStr">
        <is>
          <t>هيئة الثقافة والفنون في دبي</t>
        </is>
      </c>
      <c r="F48" s="101" t="n"/>
      <c r="G48" s="105" t="inlineStr">
        <is>
          <t>الاقتصاد والتنمية الاجتماعية</t>
        </is>
      </c>
      <c r="H48" s="105" t="inlineStr">
        <is>
          <t>السياسات والاستراتيجيات الاجتماعية</t>
        </is>
      </c>
      <c r="I48" s="105" t="inlineStr">
        <is>
          <t>قيد التطوير</t>
        </is>
      </c>
      <c r="J48" s="105" t="inlineStr">
        <is>
          <t>الربع الرابع</t>
        </is>
      </c>
      <c r="K48" s="105" t="inlineStr">
        <is>
          <t>ديسمبر</t>
        </is>
      </c>
      <c r="L48" s="105" t="n">
        <v>2026</v>
      </c>
      <c r="M48" s="105" t="inlineStr">
        <is>
          <t>ديسمبر</t>
        </is>
      </c>
    </row>
    <row r="49">
      <c r="A49" s="101" t="inlineStr">
        <is>
          <t>Social_Performace_Tracker.xlsx</t>
        </is>
      </c>
      <c r="B49" s="105" t="inlineStr">
        <is>
          <t>مستجد</t>
        </is>
      </c>
      <c r="C49" t="inlineStr">
        <is>
          <t>مدير توضيحي 1</t>
        </is>
      </c>
      <c r="D49" t="inlineStr">
        <is>
          <t>موضوع توضيحي 048</t>
        </is>
      </c>
      <c r="E49" s="105" t="inlineStr">
        <is>
          <t>هيئة تنمية المجتمع</t>
        </is>
      </c>
      <c r="F49" s="101" t="n"/>
      <c r="G49" s="105" t="inlineStr">
        <is>
          <t>الاقتصاد والتنمية الاجتماعية</t>
        </is>
      </c>
      <c r="H49" s="105" t="inlineStr">
        <is>
          <t>السياسات والاستراتيجيات الاجتماعية</t>
        </is>
      </c>
      <c r="I49" s="105" t="inlineStr">
        <is>
          <t>منجز</t>
        </is>
      </c>
      <c r="J49" s="105" t="inlineStr">
        <is>
          <t>الربع الثالث</t>
        </is>
      </c>
      <c r="K49" s="105" t="inlineStr">
        <is>
          <t>نوفمبر</t>
        </is>
      </c>
      <c r="L49" s="105" t="n">
        <v>2026</v>
      </c>
    </row>
    <row r="50">
      <c r="A50" s="101" t="inlineStr">
        <is>
          <t>Social_Performace_Tracker.xlsx</t>
        </is>
      </c>
      <c r="B50" s="105" t="inlineStr">
        <is>
          <t>مستجد</t>
        </is>
      </c>
      <c r="C50" t="inlineStr">
        <is>
          <t>مدير توضيحي 2</t>
        </is>
      </c>
      <c r="D50" t="inlineStr">
        <is>
          <t>موضوع توضيحي 049</t>
        </is>
      </c>
      <c r="E50" s="105" t="inlineStr">
        <is>
          <t>دائرة الموارد البشرية لحكومة دبي</t>
        </is>
      </c>
      <c r="F50" s="101" t="n"/>
      <c r="G50" s="105" t="inlineStr">
        <is>
          <t>الاقتصاد والتنمية الاجتماعية</t>
        </is>
      </c>
      <c r="H50" s="105" t="inlineStr">
        <is>
          <t>السياسات والاستراتيجيات الاجتماعية</t>
        </is>
      </c>
      <c r="I50" s="105" t="inlineStr">
        <is>
          <t>منجز</t>
        </is>
      </c>
      <c r="J50" s="105" t="inlineStr">
        <is>
          <t>الربع الرابع</t>
        </is>
      </c>
      <c r="K50" s="105" t="inlineStr">
        <is>
          <t>سبتمبر</t>
        </is>
      </c>
      <c r="L50" s="105" t="n">
        <v>2026</v>
      </c>
    </row>
    <row r="51">
      <c r="A51" s="101" t="inlineStr">
        <is>
          <t>Sustainability_Performace_Tracker.xlsx</t>
        </is>
      </c>
      <c r="B51" s="105" t="inlineStr">
        <is>
          <t>الأجندة السنوية</t>
        </is>
      </c>
      <c r="C51" t="inlineStr">
        <is>
          <t>مدير توضيحي 3</t>
        </is>
      </c>
      <c r="D51" t="inlineStr">
        <is>
          <t>موضوع توضيحي 050</t>
        </is>
      </c>
      <c r="E51" s="105" t="inlineStr">
        <is>
          <t>القيادة العامة لشرطة دبي</t>
        </is>
      </c>
      <c r="F51" s="101" t="n"/>
      <c r="G51" s="105" t="inlineStr">
        <is>
          <t>التنمية المستدامة</t>
        </is>
      </c>
      <c r="H51" s="105" t="inlineStr">
        <is>
          <t>السياسات والاستراتيجيات الصحية والعدل</t>
        </is>
      </c>
      <c r="I51" s="105" t="inlineStr">
        <is>
          <t>منجز</t>
        </is>
      </c>
      <c r="J51" s="105" t="inlineStr">
        <is>
          <t>الربع الأول</t>
        </is>
      </c>
      <c r="K51" s="105" t="inlineStr">
        <is>
          <t>يناير</t>
        </is>
      </c>
      <c r="L51" s="105" t="n">
        <v>2026</v>
      </c>
    </row>
    <row r="52">
      <c r="A52" s="101" t="inlineStr">
        <is>
          <t>Sustainability_Performace_Tracker.xlsx</t>
        </is>
      </c>
      <c r="B52" s="105" t="inlineStr">
        <is>
          <t>الأجندة السنوية</t>
        </is>
      </c>
      <c r="C52" t="inlineStr">
        <is>
          <t>مدير توضيحي 1</t>
        </is>
      </c>
      <c r="D52" t="inlineStr">
        <is>
          <t>موضوع توضيحي 051</t>
        </is>
      </c>
      <c r="E52" s="105" t="inlineStr">
        <is>
          <t>القيادة العامة لشرطة دبي</t>
        </is>
      </c>
      <c r="F52" s="101" t="n"/>
      <c r="G52" s="105" t="inlineStr">
        <is>
          <t>التنمية المستدامة</t>
        </is>
      </c>
      <c r="H52" s="105" t="inlineStr">
        <is>
          <t>السياسات والاستراتيجيات الصحية والعدل</t>
        </is>
      </c>
      <c r="I52" s="105" t="inlineStr">
        <is>
          <t>منجز</t>
        </is>
      </c>
      <c r="J52" s="105" t="inlineStr">
        <is>
          <t>الربع الأول</t>
        </is>
      </c>
      <c r="K52" s="105" t="inlineStr">
        <is>
          <t>فبراير</t>
        </is>
      </c>
      <c r="L52" s="105" t="n">
        <v>2026</v>
      </c>
    </row>
    <row r="53">
      <c r="A53" s="101" t="inlineStr">
        <is>
          <t>Sustainability_Performace_Tracker.xlsx</t>
        </is>
      </c>
      <c r="B53" s="105" t="inlineStr">
        <is>
          <t>الأجندة السنوية</t>
        </is>
      </c>
      <c r="C53" t="inlineStr">
        <is>
          <t>مدير توضيحي 2</t>
        </is>
      </c>
      <c r="D53" t="inlineStr">
        <is>
          <t>موضوع توضيحي 052</t>
        </is>
      </c>
      <c r="E53" s="105" t="inlineStr">
        <is>
          <t>القيادة العامة لشرطة دبي</t>
        </is>
      </c>
      <c r="F53" s="101" t="n"/>
      <c r="G53" s="105" t="inlineStr">
        <is>
          <t>التنمية المستدامة</t>
        </is>
      </c>
      <c r="H53" s="105" t="inlineStr">
        <is>
          <t>السياسات والاستراتيجيات الصحية والعدل</t>
        </is>
      </c>
      <c r="I53" s="105" t="inlineStr">
        <is>
          <t>قيد التطوير</t>
        </is>
      </c>
      <c r="J53" s="105" t="inlineStr">
        <is>
          <t>الربع الأول</t>
        </is>
      </c>
      <c r="K53" s="105" t="inlineStr">
        <is>
          <t>مارس</t>
        </is>
      </c>
      <c r="L53" s="105" t="n">
        <v>2026</v>
      </c>
      <c r="M53" s="105" t="inlineStr">
        <is>
          <t>أكتوبر</t>
        </is>
      </c>
    </row>
    <row r="54">
      <c r="A54" s="101" t="inlineStr">
        <is>
          <t>Sustainability_Performace_Tracker.xlsx</t>
        </is>
      </c>
      <c r="B54" s="105" t="inlineStr">
        <is>
          <t>الأجندة السنوية</t>
        </is>
      </c>
      <c r="C54" t="inlineStr">
        <is>
          <t>مدير توضيحي 3</t>
        </is>
      </c>
      <c r="D54" t="inlineStr">
        <is>
          <t>موضوع توضيحي 053</t>
        </is>
      </c>
      <c r="E54" s="105" t="inlineStr">
        <is>
          <t>مركز إرادة للعلاج والتأهيل في دبي</t>
        </is>
      </c>
      <c r="F54" s="101" t="n"/>
      <c r="G54" s="105" t="inlineStr">
        <is>
          <t>التنمية المستدامة</t>
        </is>
      </c>
      <c r="H54" s="105" t="inlineStr">
        <is>
          <t>السياسات والاستراتيجيات الصحية والعدل</t>
        </is>
      </c>
      <c r="I54" s="105" t="inlineStr">
        <is>
          <t>قيد المراجعة</t>
        </is>
      </c>
      <c r="J54" s="105" t="inlineStr">
        <is>
          <t>الربع الأول</t>
        </is>
      </c>
      <c r="K54" s="105" t="inlineStr">
        <is>
          <t>مارس</t>
        </is>
      </c>
      <c r="L54" s="105" t="n">
        <v>2026</v>
      </c>
      <c r="M54" s="105" t="inlineStr">
        <is>
          <t>سبتمبر</t>
        </is>
      </c>
    </row>
    <row r="55">
      <c r="A55" s="101" t="inlineStr">
        <is>
          <t>Sustainability_Performace_Tracker.xlsx</t>
        </is>
      </c>
      <c r="B55" s="105" t="inlineStr">
        <is>
          <t>الأجندة السنوية</t>
        </is>
      </c>
      <c r="C55" t="inlineStr">
        <is>
          <t>مدير توضيحي 1</t>
        </is>
      </c>
      <c r="D55" t="inlineStr">
        <is>
          <t>موضوع توضيحي 054</t>
        </is>
      </c>
      <c r="E55" s="105" t="inlineStr">
        <is>
          <t>بلدية دبي</t>
        </is>
      </c>
      <c r="F55" s="101" t="n"/>
      <c r="G55" s="105" t="inlineStr">
        <is>
          <t>التنمية المستدامة</t>
        </is>
      </c>
      <c r="H55" s="105" t="inlineStr">
        <is>
          <t>السياسات والاستراتيجيات البيئية والبنية التحتية</t>
        </is>
      </c>
      <c r="I55" s="105" t="inlineStr">
        <is>
          <t>قيد المراجعة</t>
        </is>
      </c>
      <c r="J55" s="105" t="inlineStr">
        <is>
          <t>الربع الأول</t>
        </is>
      </c>
      <c r="K55" s="105" t="inlineStr">
        <is>
          <t>مارس</t>
        </is>
      </c>
      <c r="L55" s="105" t="n">
        <v>2026</v>
      </c>
    </row>
    <row r="56">
      <c r="A56" s="101" t="inlineStr">
        <is>
          <t>Sustainability_Performace_Tracker.xlsx</t>
        </is>
      </c>
      <c r="B56" s="105" t="inlineStr">
        <is>
          <t>الأجندة السنوية</t>
        </is>
      </c>
      <c r="C56" t="inlineStr">
        <is>
          <t>مدير توضيحي 2</t>
        </is>
      </c>
      <c r="D56" t="inlineStr">
        <is>
          <t>موضوع توضيحي 055</t>
        </is>
      </c>
      <c r="E56" s="105" t="inlineStr">
        <is>
          <t>النيابة العامة</t>
        </is>
      </c>
      <c r="F56" s="101" t="n"/>
      <c r="G56" s="105" t="inlineStr">
        <is>
          <t>التنمية المستدامة</t>
        </is>
      </c>
      <c r="H56" s="105" t="inlineStr">
        <is>
          <t>السياسات والاستراتيجيات الصحية والعدل</t>
        </is>
      </c>
      <c r="I56" s="105" t="inlineStr">
        <is>
          <t>منجز</t>
        </is>
      </c>
      <c r="J56" s="105" t="inlineStr">
        <is>
          <t>الربع الأول</t>
        </is>
      </c>
      <c r="K56" s="105" t="inlineStr">
        <is>
          <t>يناير</t>
        </is>
      </c>
      <c r="L56" s="105" t="n">
        <v>2026</v>
      </c>
    </row>
    <row r="57">
      <c r="A57" s="101" t="inlineStr">
        <is>
          <t>Sustainability_Performace_Tracker.xlsx</t>
        </is>
      </c>
      <c r="B57" s="105" t="inlineStr">
        <is>
          <t>الأجندة السنوية</t>
        </is>
      </c>
      <c r="C57" t="inlineStr">
        <is>
          <t>مدير توضيحي 3</t>
        </is>
      </c>
      <c r="D57" t="inlineStr">
        <is>
          <t>موضوع توضيحي 056</t>
        </is>
      </c>
      <c r="E57" s="105" t="inlineStr">
        <is>
          <t>اللجنة العليا للتشريعات في إمارة دبي</t>
        </is>
      </c>
      <c r="F57" s="101" t="n"/>
      <c r="G57" s="105" t="inlineStr">
        <is>
          <t>التنمية المستدامة</t>
        </is>
      </c>
      <c r="H57" s="105" t="inlineStr">
        <is>
          <t>السياسات والاستراتيجيات الصحية والعدل</t>
        </is>
      </c>
      <c r="I57" s="105" t="inlineStr">
        <is>
          <t>منجز</t>
        </is>
      </c>
      <c r="J57" s="105" t="inlineStr">
        <is>
          <t>الربع الأول</t>
        </is>
      </c>
      <c r="K57" s="105" t="inlineStr">
        <is>
          <t>يناير</t>
        </is>
      </c>
      <c r="L57" s="105" t="n">
        <v>2026</v>
      </c>
    </row>
    <row r="58">
      <c r="A58" s="101" t="inlineStr">
        <is>
          <t>Sustainability_Performace_Tracker.xlsx</t>
        </is>
      </c>
      <c r="B58" s="105" t="inlineStr">
        <is>
          <t>الأجندة السنوية</t>
        </is>
      </c>
      <c r="C58" t="inlineStr">
        <is>
          <t>مدير توضيحي 1</t>
        </is>
      </c>
      <c r="D58" t="inlineStr">
        <is>
          <t>موضوع توضيحي 057</t>
        </is>
      </c>
      <c r="E58" s="105" t="inlineStr">
        <is>
          <t>هيئة الصحة بدبي</t>
        </is>
      </c>
      <c r="F58" s="101" t="n"/>
      <c r="G58" s="105" t="inlineStr">
        <is>
          <t>التنمية المستدامة</t>
        </is>
      </c>
      <c r="H58" s="105" t="inlineStr">
        <is>
          <t>السياسات والاستراتيجيات الصحية والعدل</t>
        </is>
      </c>
      <c r="I58" s="105" t="inlineStr">
        <is>
          <t>منجز</t>
        </is>
      </c>
      <c r="J58" s="105" t="inlineStr">
        <is>
          <t>الربع الأول</t>
        </is>
      </c>
      <c r="K58" s="105" t="inlineStr">
        <is>
          <t>مارس</t>
        </is>
      </c>
      <c r="L58" s="105" t="n">
        <v>2026</v>
      </c>
    </row>
    <row r="59">
      <c r="A59" s="101" t="inlineStr">
        <is>
          <t>Sustainability_Performace_Tracker.xlsx</t>
        </is>
      </c>
      <c r="B59" s="105" t="inlineStr">
        <is>
          <t>الأجندة السنوية</t>
        </is>
      </c>
      <c r="C59" t="inlineStr">
        <is>
          <t>مدير توضيحي 2</t>
        </is>
      </c>
      <c r="D59" t="inlineStr">
        <is>
          <t>موضوع توضيحي 058</t>
        </is>
      </c>
      <c r="E59" s="105" t="inlineStr">
        <is>
          <t>مؤسسة دبي لخدمات الإسعاف</t>
        </is>
      </c>
      <c r="F59" s="101" t="n"/>
      <c r="G59" s="105" t="inlineStr">
        <is>
          <t>التنمية المستدامة</t>
        </is>
      </c>
      <c r="H59" s="105" t="inlineStr">
        <is>
          <t>السياسات والاستراتيجيات الصحية والعدل</t>
        </is>
      </c>
      <c r="I59" s="105" t="inlineStr">
        <is>
          <t>منجز</t>
        </is>
      </c>
      <c r="J59" s="105" t="inlineStr">
        <is>
          <t>الربع الأول</t>
        </is>
      </c>
      <c r="L59" s="105" t="n">
        <v>2026</v>
      </c>
    </row>
    <row r="60">
      <c r="A60" s="101" t="inlineStr">
        <is>
          <t>Sustainability_Performace_Tracker.xlsx</t>
        </is>
      </c>
      <c r="B60" s="105" t="inlineStr">
        <is>
          <t>الأجندة السنوية</t>
        </is>
      </c>
      <c r="C60" t="inlineStr">
        <is>
          <t>مدير توضيحي 3</t>
        </is>
      </c>
      <c r="D60" t="inlineStr">
        <is>
          <t>موضوع توضيحي 059</t>
        </is>
      </c>
      <c r="E60" s="105" t="inlineStr">
        <is>
          <t>مركز دبي للمرونة</t>
        </is>
      </c>
      <c r="F60" s="101" t="n"/>
      <c r="G60" s="105" t="inlineStr">
        <is>
          <t>التنمية المستدامة</t>
        </is>
      </c>
      <c r="H60" s="105" t="inlineStr">
        <is>
          <t>السياسات والاستراتيجيات البيئية والبنية التحتية</t>
        </is>
      </c>
      <c r="I60" s="105" t="inlineStr">
        <is>
          <t>منجز</t>
        </is>
      </c>
      <c r="J60" s="105" t="inlineStr">
        <is>
          <t>الربع الأول</t>
        </is>
      </c>
      <c r="K60" s="105" t="inlineStr">
        <is>
          <t>مارس</t>
        </is>
      </c>
      <c r="L60" s="105" t="n">
        <v>2026</v>
      </c>
    </row>
    <row r="61">
      <c r="A61" s="101" t="inlineStr">
        <is>
          <t>Sustainability_Performace_Tracker.xlsx</t>
        </is>
      </c>
      <c r="B61" s="105" t="inlineStr">
        <is>
          <t>الأجندة السنوية</t>
        </is>
      </c>
      <c r="C61" t="inlineStr">
        <is>
          <t>مدير توضيحي 1</t>
        </is>
      </c>
      <c r="D61" t="inlineStr">
        <is>
          <t>موضوع توضيحي 060</t>
        </is>
      </c>
      <c r="E61" s="105" t="inlineStr">
        <is>
          <t>اللجنة العليا للتخطيط الحضري</t>
        </is>
      </c>
      <c r="F61" s="101" t="n"/>
      <c r="G61" s="105" t="inlineStr">
        <is>
          <t>التنمية المستدامة</t>
        </is>
      </c>
      <c r="H61" s="105" t="inlineStr">
        <is>
          <t>السياسات والاستراتيجيات البيئية والبنية التحتية</t>
        </is>
      </c>
      <c r="I61" s="105" t="inlineStr">
        <is>
          <t>منجز</t>
        </is>
      </c>
      <c r="J61" s="105" t="inlineStr">
        <is>
          <t>الربع الأول</t>
        </is>
      </c>
      <c r="K61" s="105" t="inlineStr">
        <is>
          <t>مارس</t>
        </is>
      </c>
      <c r="L61" s="105" t="n">
        <v>2026</v>
      </c>
      <c r="P61" s="105" t="inlineStr">
        <is>
          <t>03 يوليو 2026</t>
        </is>
      </c>
    </row>
    <row r="62">
      <c r="A62" s="101" t="inlineStr">
        <is>
          <t>Sustainability_Performace_Tracker.xlsx</t>
        </is>
      </c>
      <c r="B62" s="105" t="inlineStr">
        <is>
          <t>الأجندة السنوية</t>
        </is>
      </c>
      <c r="C62" t="inlineStr">
        <is>
          <t>مدير توضيحي 2</t>
        </is>
      </c>
      <c r="D62" t="inlineStr">
        <is>
          <t>موضوع توضيحي 061</t>
        </is>
      </c>
      <c r="E62" s="105" t="inlineStr">
        <is>
          <t>هيئة الطرق والمواصلات</t>
        </is>
      </c>
      <c r="F62" s="101" t="n"/>
      <c r="G62" s="105" t="inlineStr">
        <is>
          <t>التنمية المستدامة</t>
        </is>
      </c>
      <c r="H62" s="105" t="inlineStr">
        <is>
          <t>السياسات والاستراتيجيات البيئية والبنية التحتية</t>
        </is>
      </c>
      <c r="I62" s="105" t="inlineStr">
        <is>
          <t>منجز</t>
        </is>
      </c>
      <c r="J62" s="105" t="inlineStr">
        <is>
          <t>الربع الأول</t>
        </is>
      </c>
      <c r="K62" s="105" t="inlineStr">
        <is>
          <t>مارس</t>
        </is>
      </c>
      <c r="L62" s="105" t="n">
        <v>2026</v>
      </c>
      <c r="P62" s="105" t="inlineStr">
        <is>
          <t>03 يوليو 2026</t>
        </is>
      </c>
    </row>
    <row r="63">
      <c r="A63" s="101" t="inlineStr">
        <is>
          <t>Sustainability_Performace_Tracker.xlsx</t>
        </is>
      </c>
      <c r="B63" s="105" t="inlineStr">
        <is>
          <t>الأجندة السنوية</t>
        </is>
      </c>
      <c r="C63" t="inlineStr">
        <is>
          <t>مدير توضيحي 3</t>
        </is>
      </c>
      <c r="D63" t="inlineStr">
        <is>
          <t>موضوع توضيحي 062</t>
        </is>
      </c>
      <c r="E63" s="105" t="inlineStr">
        <is>
          <t>هيئة الطرق والمواصلات</t>
        </is>
      </c>
      <c r="F63" s="101" t="n"/>
      <c r="G63" s="105" t="inlineStr">
        <is>
          <t>التنمية المستدامة</t>
        </is>
      </c>
      <c r="H63" s="105" t="inlineStr">
        <is>
          <t>السياسات والاستراتيجيات البيئية والبنية التحتية</t>
        </is>
      </c>
      <c r="I63" s="105" t="inlineStr">
        <is>
          <t>منجز</t>
        </is>
      </c>
      <c r="J63" s="105" t="inlineStr">
        <is>
          <t>الربع الأول</t>
        </is>
      </c>
      <c r="K63" s="105" t="inlineStr">
        <is>
          <t>مارس</t>
        </is>
      </c>
      <c r="L63" s="105" t="n">
        <v>2026</v>
      </c>
    </row>
    <row r="64">
      <c r="A64" s="101" t="inlineStr">
        <is>
          <t>Sustainability_Performace_Tracker.xlsx</t>
        </is>
      </c>
      <c r="B64" s="105" t="inlineStr">
        <is>
          <t>الأجندة السنوية</t>
        </is>
      </c>
      <c r="C64" t="inlineStr">
        <is>
          <t>مدير توضيحي 1</t>
        </is>
      </c>
      <c r="D64" t="inlineStr">
        <is>
          <t>موضوع توضيحي 063</t>
        </is>
      </c>
      <c r="E64" s="105" t="inlineStr">
        <is>
          <t>بلدية دبي</t>
        </is>
      </c>
      <c r="F64" s="101" t="n"/>
      <c r="G64" s="105" t="inlineStr">
        <is>
          <t>التنمية المستدامة</t>
        </is>
      </c>
      <c r="H64" s="105" t="inlineStr">
        <is>
          <t>السياسات والاستراتيجيات البيئية والبنية التحتية</t>
        </is>
      </c>
      <c r="I64" s="105" t="inlineStr">
        <is>
          <t>قيد التطوير</t>
        </is>
      </c>
      <c r="J64" s="105" t="inlineStr">
        <is>
          <t>الربع الثالث</t>
        </is>
      </c>
      <c r="K64" s="105" t="inlineStr">
        <is>
          <t>سبتمبر</t>
        </is>
      </c>
      <c r="L64" s="105" t="n">
        <v>2026</v>
      </c>
    </row>
    <row r="65">
      <c r="A65" s="101" t="inlineStr">
        <is>
          <t>Sustainability_Performace_Tracker.xlsx</t>
        </is>
      </c>
      <c r="B65" s="105" t="inlineStr">
        <is>
          <t>الأجندة السنوية</t>
        </is>
      </c>
      <c r="C65" t="inlineStr">
        <is>
          <t>مدير توضيحي 2</t>
        </is>
      </c>
      <c r="D65" t="inlineStr">
        <is>
          <t>موضوع توضيحي 064</t>
        </is>
      </c>
      <c r="E65" s="105" t="inlineStr">
        <is>
          <t>هيئة الطرق والمواصلات</t>
        </is>
      </c>
      <c r="F65" s="101" t="n"/>
      <c r="G65" s="105" t="inlineStr">
        <is>
          <t>التنمية المستدامة</t>
        </is>
      </c>
      <c r="H65" s="105" t="inlineStr">
        <is>
          <t>السياسات والاستراتيجيات البيئية والبنية التحتية</t>
        </is>
      </c>
      <c r="I65" s="105" t="inlineStr">
        <is>
          <t>قيد التطوير</t>
        </is>
      </c>
      <c r="J65" s="105" t="inlineStr">
        <is>
          <t>الربع الثالث</t>
        </is>
      </c>
      <c r="K65" s="105" t="inlineStr">
        <is>
          <t>سبتمبر</t>
        </is>
      </c>
      <c r="L65" s="105" t="n">
        <v>2026</v>
      </c>
    </row>
    <row r="66">
      <c r="A66" s="101" t="inlineStr">
        <is>
          <t>Sustainability_Performace_Tracker.xlsx</t>
        </is>
      </c>
      <c r="B66" s="105" t="inlineStr">
        <is>
          <t>الأجندة السنوية</t>
        </is>
      </c>
      <c r="C66" t="inlineStr">
        <is>
          <t>مدير توضيحي 3</t>
        </is>
      </c>
      <c r="D66" t="inlineStr">
        <is>
          <t>موضوع توضيحي 065</t>
        </is>
      </c>
      <c r="E66" s="105" t="inlineStr">
        <is>
          <t>اللجنة العليا للتخطيط الحضري</t>
        </is>
      </c>
      <c r="F66" s="101" t="n"/>
      <c r="G66" s="105" t="inlineStr">
        <is>
          <t>التنمية المستدامة</t>
        </is>
      </c>
      <c r="H66" s="105" t="inlineStr">
        <is>
          <t>السياسات والاستراتيجيات البيئية والبنية التحتية</t>
        </is>
      </c>
      <c r="I66" s="105" t="inlineStr">
        <is>
          <t>قيد التطوير</t>
        </is>
      </c>
      <c r="J66" s="105" t="inlineStr">
        <is>
          <t>الربع الثالث</t>
        </is>
      </c>
      <c r="K66" s="105" t="inlineStr">
        <is>
          <t>أغسطس</t>
        </is>
      </c>
      <c r="L66" s="105" t="n">
        <v>2026</v>
      </c>
      <c r="M66" s="105" t="inlineStr">
        <is>
          <t>ديسمبر</t>
        </is>
      </c>
    </row>
    <row r="67">
      <c r="A67" s="101" t="inlineStr">
        <is>
          <t>Sustainability_Performace_Tracker.xlsx</t>
        </is>
      </c>
      <c r="B67" s="105" t="inlineStr">
        <is>
          <t>الأجندة السنوية</t>
        </is>
      </c>
      <c r="C67" t="inlineStr">
        <is>
          <t>مدير توضيحي 1</t>
        </is>
      </c>
      <c r="D67" t="inlineStr">
        <is>
          <t>موضوع توضيحي 066</t>
        </is>
      </c>
      <c r="E67" s="105" t="inlineStr">
        <is>
          <t>القيادة العامة لشرطة دبي</t>
        </is>
      </c>
      <c r="F67" s="101" t="n"/>
      <c r="G67" s="105" t="inlineStr">
        <is>
          <t>التنمية المستدامة</t>
        </is>
      </c>
      <c r="H67" s="105" t="inlineStr">
        <is>
          <t>السياسات والاستراتيجيات الصحية والعدل</t>
        </is>
      </c>
      <c r="I67" s="105" t="inlineStr">
        <is>
          <t>منجز</t>
        </is>
      </c>
      <c r="J67" s="105" t="inlineStr">
        <is>
          <t>الربع الثاني</t>
        </is>
      </c>
      <c r="K67" s="105" t="inlineStr">
        <is>
          <t>يونيو</t>
        </is>
      </c>
      <c r="L67" s="105" t="n">
        <v>2026</v>
      </c>
    </row>
    <row r="68">
      <c r="A68" s="101" t="inlineStr">
        <is>
          <t>Sustainability_Performace_Tracker.xlsx</t>
        </is>
      </c>
      <c r="B68" s="105" t="inlineStr">
        <is>
          <t>الأجندة السنوية</t>
        </is>
      </c>
      <c r="C68" t="inlineStr">
        <is>
          <t>مدير توضيحي 2</t>
        </is>
      </c>
      <c r="D68" t="inlineStr">
        <is>
          <t>موضوع توضيحي 067</t>
        </is>
      </c>
      <c r="E68" s="105" t="inlineStr">
        <is>
          <t>مؤسسة الموانئ والجمارك والمنطقة الحرة</t>
        </is>
      </c>
      <c r="F68" s="101" t="n"/>
      <c r="G68" s="105" t="inlineStr">
        <is>
          <t>التنمية المستدامة</t>
        </is>
      </c>
      <c r="H68" s="105" t="inlineStr">
        <is>
          <t>السياسات والاستراتيجيات البيئية والبنية التحتية</t>
        </is>
      </c>
      <c r="I68" s="105" t="inlineStr">
        <is>
          <t>قيد المراجعة</t>
        </is>
      </c>
      <c r="J68" s="105" t="inlineStr">
        <is>
          <t>الربع الثاني</t>
        </is>
      </c>
      <c r="K68" s="105" t="inlineStr">
        <is>
          <t>مايو</t>
        </is>
      </c>
      <c r="L68" s="105" t="n">
        <v>2026</v>
      </c>
    </row>
    <row r="69">
      <c r="A69" s="101" t="inlineStr">
        <is>
          <t>Sustainability_Performace_Tracker.xlsx</t>
        </is>
      </c>
      <c r="B69" s="105" t="inlineStr">
        <is>
          <t>الأجندة السنوية</t>
        </is>
      </c>
      <c r="C69" t="inlineStr">
        <is>
          <t>مدير توضيحي 3</t>
        </is>
      </c>
      <c r="D69" t="inlineStr">
        <is>
          <t>موضوع توضيحي 068</t>
        </is>
      </c>
      <c r="E69" s="105" t="inlineStr">
        <is>
          <t>بلدية دبي</t>
        </is>
      </c>
      <c r="F69" s="101" t="n"/>
      <c r="G69" s="105" t="inlineStr">
        <is>
          <t>التنمية المستدامة</t>
        </is>
      </c>
      <c r="H69" s="105" t="inlineStr">
        <is>
          <t>السياسات والاستراتيجيات البيئية والبنية التحتية</t>
        </is>
      </c>
      <c r="I69" s="105" t="inlineStr">
        <is>
          <t>قيد المراجعة</t>
        </is>
      </c>
      <c r="J69" s="105" t="inlineStr">
        <is>
          <t>الربع الثاني</t>
        </is>
      </c>
      <c r="K69" s="105" t="inlineStr">
        <is>
          <t>يونيو</t>
        </is>
      </c>
      <c r="L69" s="105" t="n">
        <v>2026</v>
      </c>
    </row>
    <row r="70">
      <c r="A70" s="101" t="inlineStr">
        <is>
          <t>Sustainability_Performace_Tracker.xlsx</t>
        </is>
      </c>
      <c r="B70" s="105" t="inlineStr">
        <is>
          <t>الأجندة السنوية</t>
        </is>
      </c>
      <c r="C70" t="inlineStr">
        <is>
          <t>مدير توضيحي 1</t>
        </is>
      </c>
      <c r="D70" t="inlineStr">
        <is>
          <t>موضوع توضيحي 069</t>
        </is>
      </c>
      <c r="E70" s="105" t="inlineStr">
        <is>
          <t>هيئة الصحة بدبي</t>
        </is>
      </c>
      <c r="F70" s="101" t="n"/>
      <c r="G70" s="105" t="inlineStr">
        <is>
          <t>التنمية المستدامة</t>
        </is>
      </c>
      <c r="H70" s="105" t="inlineStr">
        <is>
          <t>السياسات والاستراتيجيات الصحية والعدل</t>
        </is>
      </c>
      <c r="I70" s="105" t="inlineStr">
        <is>
          <t>جاهز للعرض</t>
        </is>
      </c>
      <c r="J70" s="105" t="inlineStr">
        <is>
          <t>الربع الثاني</t>
        </is>
      </c>
      <c r="K70" s="105" t="inlineStr">
        <is>
          <t>يونيو</t>
        </is>
      </c>
      <c r="L70" s="105" t="n">
        <v>2026</v>
      </c>
    </row>
    <row r="71">
      <c r="A71" s="101" t="inlineStr">
        <is>
          <t>Sustainability_Performace_Tracker.xlsx</t>
        </is>
      </c>
      <c r="B71" s="105" t="inlineStr">
        <is>
          <t>الأجندة السنوية</t>
        </is>
      </c>
      <c r="C71" t="inlineStr">
        <is>
          <t>مدير توضيحي 2</t>
        </is>
      </c>
      <c r="D71" t="inlineStr">
        <is>
          <t>موضوع توضيحي 070</t>
        </is>
      </c>
      <c r="E71" s="105" t="inlineStr">
        <is>
          <t>اللجنة العليا للتخطيط الحضري</t>
        </is>
      </c>
      <c r="F71" s="101" t="n"/>
      <c r="G71" s="105" t="inlineStr">
        <is>
          <t>التنمية المستدامة</t>
        </is>
      </c>
      <c r="H71" s="105" t="inlineStr">
        <is>
          <t>السياسات والاستراتيجيات البيئية والبنية التحتية</t>
        </is>
      </c>
      <c r="I71" s="105" t="inlineStr">
        <is>
          <t>جاهز للعرض</t>
        </is>
      </c>
      <c r="J71" s="105" t="inlineStr">
        <is>
          <t>الربع الثاني</t>
        </is>
      </c>
      <c r="K71" s="105" t="inlineStr">
        <is>
          <t>يونيو</t>
        </is>
      </c>
      <c r="L71" s="105" t="n">
        <v>2026</v>
      </c>
    </row>
    <row r="72">
      <c r="A72" s="101" t="inlineStr">
        <is>
          <t>Sustainability_Performace_Tracker.xlsx</t>
        </is>
      </c>
      <c r="B72" s="105" t="inlineStr">
        <is>
          <t>الأجندة السنوية</t>
        </is>
      </c>
      <c r="C72" t="inlineStr">
        <is>
          <t>مدير توضيحي 3</t>
        </is>
      </c>
      <c r="D72" t="inlineStr">
        <is>
          <t>موضوع توضيحي 071</t>
        </is>
      </c>
      <c r="E72" s="105" t="inlineStr">
        <is>
          <t>اللجنة العليا للتخطيط الحضري</t>
        </is>
      </c>
      <c r="F72" s="101" t="n"/>
      <c r="G72" s="105" t="inlineStr">
        <is>
          <t>التنمية المستدامة</t>
        </is>
      </c>
      <c r="H72" s="105" t="inlineStr">
        <is>
          <t>السياسات والاستراتيجيات البيئية والبنية التحتية</t>
        </is>
      </c>
      <c r="I72" s="105" t="inlineStr">
        <is>
          <t>جاهز للعرض</t>
        </is>
      </c>
      <c r="J72" s="105" t="inlineStr">
        <is>
          <t>الربع الثاني</t>
        </is>
      </c>
      <c r="K72" s="105" t="inlineStr">
        <is>
          <t>يونيو</t>
        </is>
      </c>
      <c r="L72" s="105" t="n">
        <v>2026</v>
      </c>
    </row>
    <row r="73">
      <c r="A73" s="101" t="inlineStr">
        <is>
          <t>Sustainability_Performace_Tracker.xlsx</t>
        </is>
      </c>
      <c r="B73" s="105" t="inlineStr">
        <is>
          <t>الأجندة السنوية</t>
        </is>
      </c>
      <c r="C73" t="inlineStr">
        <is>
          <t>مدير توضيحي 1</t>
        </is>
      </c>
      <c r="D73" t="inlineStr">
        <is>
          <t>موضوع توضيحي 072</t>
        </is>
      </c>
      <c r="E73" s="105" t="inlineStr">
        <is>
          <t>اللجنة العليا للتخطيط الحضري</t>
        </is>
      </c>
      <c r="F73" s="101" t="n"/>
      <c r="G73" s="105" t="inlineStr">
        <is>
          <t>التنمية المستدامة</t>
        </is>
      </c>
      <c r="H73" s="105" t="inlineStr">
        <is>
          <t>السياسات والاستراتيجيات البيئية والبنية التحتية</t>
        </is>
      </c>
      <c r="I73" s="105" t="inlineStr">
        <is>
          <t>قيد التطوير</t>
        </is>
      </c>
      <c r="J73" s="105" t="inlineStr">
        <is>
          <t>الربع الثاني</t>
        </is>
      </c>
      <c r="K73" s="105" t="inlineStr">
        <is>
          <t>يونيو</t>
        </is>
      </c>
      <c r="L73" s="105" t="n">
        <v>2026</v>
      </c>
      <c r="M73" s="105" t="inlineStr">
        <is>
          <t>ديسمبر</t>
        </is>
      </c>
    </row>
    <row r="74">
      <c r="A74" s="101" t="inlineStr">
        <is>
          <t>Sustainability_Performace_Tracker.xlsx</t>
        </is>
      </c>
      <c r="B74" s="105" t="inlineStr">
        <is>
          <t>الأجندة السنوية</t>
        </is>
      </c>
      <c r="C74" t="inlineStr">
        <is>
          <t>مدير توضيحي 2</t>
        </is>
      </c>
      <c r="D74" t="inlineStr">
        <is>
          <t>موضوع توضيحي 073</t>
        </is>
      </c>
      <c r="E74" s="105" t="inlineStr">
        <is>
          <t>القيادة العامة للدفاع المدني - دبي</t>
        </is>
      </c>
      <c r="F74" s="101" t="n"/>
      <c r="G74" s="105" t="inlineStr">
        <is>
          <t>التنمية المستدامة</t>
        </is>
      </c>
      <c r="H74" s="105" t="inlineStr">
        <is>
          <t>السياسات والاستراتيجيات البيئية والبنية التحتية</t>
        </is>
      </c>
      <c r="I74" s="105" t="inlineStr">
        <is>
          <t>جاهز للعرض</t>
        </is>
      </c>
      <c r="J74" s="105" t="inlineStr">
        <is>
          <t>الربع الثالث</t>
        </is>
      </c>
      <c r="K74" s="105" t="inlineStr">
        <is>
          <t>سبتمبر</t>
        </is>
      </c>
      <c r="L74" s="105" t="n">
        <v>2026</v>
      </c>
    </row>
    <row r="75">
      <c r="A75" s="101" t="inlineStr">
        <is>
          <t>Sustainability_Performace_Tracker.xlsx</t>
        </is>
      </c>
      <c r="B75" s="105" t="inlineStr">
        <is>
          <t>الأجندة السنوية</t>
        </is>
      </c>
      <c r="C75" t="inlineStr">
        <is>
          <t>مدير توضيحي 3</t>
        </is>
      </c>
      <c r="D75" t="inlineStr">
        <is>
          <t>موضوع توضيحي 074</t>
        </is>
      </c>
      <c r="E75" s="105" t="inlineStr">
        <is>
          <t>هيئة الصحة بدبي</t>
        </is>
      </c>
      <c r="F75" s="101" t="n"/>
      <c r="G75" s="105" t="inlineStr">
        <is>
          <t>التنمية المستدامة</t>
        </is>
      </c>
      <c r="H75" s="105" t="inlineStr">
        <is>
          <t>السياسات والاستراتيجيات الصحية والعدل</t>
        </is>
      </c>
      <c r="I75" s="105" t="inlineStr">
        <is>
          <t>قيد التطوير</t>
        </is>
      </c>
      <c r="J75" s="105" t="inlineStr">
        <is>
          <t>الربع الثاني</t>
        </is>
      </c>
      <c r="K75" s="105" t="inlineStr">
        <is>
          <t>مايو</t>
        </is>
      </c>
      <c r="L75" s="105" t="n">
        <v>2026</v>
      </c>
      <c r="M75" s="105" t="inlineStr">
        <is>
          <t>أكتوبر</t>
        </is>
      </c>
    </row>
    <row r="76">
      <c r="A76" s="101" t="inlineStr">
        <is>
          <t>Sustainability_Performace_Tracker.xlsx</t>
        </is>
      </c>
      <c r="B76" s="105" t="inlineStr">
        <is>
          <t>الأجندة السنوية</t>
        </is>
      </c>
      <c r="C76" t="inlineStr">
        <is>
          <t>مدير توضيحي 1</t>
        </is>
      </c>
      <c r="D76" t="inlineStr">
        <is>
          <t>موضوع توضيحي 075</t>
        </is>
      </c>
      <c r="E76" s="105" t="inlineStr">
        <is>
          <t>هيئة الطرق والمواصلات</t>
        </is>
      </c>
      <c r="F76" s="101" t="n"/>
      <c r="G76" s="105" t="inlineStr">
        <is>
          <t>التنمية المستدامة</t>
        </is>
      </c>
      <c r="H76" s="105" t="inlineStr">
        <is>
          <t>السياسات والاستراتيجيات البيئية والبنية التحتية</t>
        </is>
      </c>
      <c r="I76" s="105" t="inlineStr">
        <is>
          <t>جاهز للعرض</t>
        </is>
      </c>
      <c r="J76" s="105" t="inlineStr">
        <is>
          <t>الربع الثاني</t>
        </is>
      </c>
      <c r="K76" s="105" t="inlineStr">
        <is>
          <t>يونيو</t>
        </is>
      </c>
      <c r="L76" s="105" t="n">
        <v>2026</v>
      </c>
    </row>
    <row r="77">
      <c r="A77" s="101" t="inlineStr">
        <is>
          <t>Sustainability_Performace_Tracker.xlsx</t>
        </is>
      </c>
      <c r="B77" s="105" t="inlineStr">
        <is>
          <t>الأجندة السنوية</t>
        </is>
      </c>
      <c r="C77" t="inlineStr">
        <is>
          <t>مدير توضيحي 2</t>
        </is>
      </c>
      <c r="D77" t="inlineStr">
        <is>
          <t>موضوع توضيحي 076</t>
        </is>
      </c>
      <c r="E77" s="105" t="inlineStr">
        <is>
          <t>اللجنة العليا للتخطيط الحضري</t>
        </is>
      </c>
      <c r="F77" s="101" t="n"/>
      <c r="G77" s="105" t="inlineStr">
        <is>
          <t>التنمية المستدامة</t>
        </is>
      </c>
      <c r="H77" s="105" t="inlineStr">
        <is>
          <t>السياسات والاستراتيجيات البيئية والبنية التحتية</t>
        </is>
      </c>
      <c r="I77" s="105" t="inlineStr">
        <is>
          <t>منجز</t>
        </is>
      </c>
      <c r="J77" s="105" t="inlineStr">
        <is>
          <t>الربع الثاني</t>
        </is>
      </c>
      <c r="K77" s="105" t="inlineStr">
        <is>
          <t>يونيو</t>
        </is>
      </c>
      <c r="L77" s="105" t="n">
        <v>2026</v>
      </c>
    </row>
    <row r="78">
      <c r="A78" s="101" t="inlineStr">
        <is>
          <t>Sustainability_Performace_Tracker.xlsx</t>
        </is>
      </c>
      <c r="B78" s="105" t="inlineStr">
        <is>
          <t>الأجندة السنوية</t>
        </is>
      </c>
      <c r="C78" t="inlineStr">
        <is>
          <t>مدير توضيحي 3</t>
        </is>
      </c>
      <c r="D78" t="inlineStr">
        <is>
          <t>موضوع توضيحي 077</t>
        </is>
      </c>
      <c r="E78" s="105" t="inlineStr">
        <is>
          <t>بلدية دبي</t>
        </is>
      </c>
      <c r="F78" s="101" t="n"/>
      <c r="G78" s="105" t="inlineStr">
        <is>
          <t>التنمية المستدامة</t>
        </is>
      </c>
      <c r="H78" s="105" t="inlineStr">
        <is>
          <t>السياسات والاستراتيجيات البيئية والبنية التحتية</t>
        </is>
      </c>
      <c r="I78" s="105" t="inlineStr">
        <is>
          <t>جاهز للعرض</t>
        </is>
      </c>
      <c r="J78" s="105" t="inlineStr">
        <is>
          <t>الربع الثاني</t>
        </is>
      </c>
      <c r="K78" s="105" t="inlineStr">
        <is>
          <t>يونيو</t>
        </is>
      </c>
      <c r="L78" s="105" t="n">
        <v>2026</v>
      </c>
    </row>
    <row r="79">
      <c r="A79" s="101" t="inlineStr">
        <is>
          <t>Sustainability_Performace_Tracker.xlsx</t>
        </is>
      </c>
      <c r="B79" s="105" t="inlineStr">
        <is>
          <t>الأجندة السنوية</t>
        </is>
      </c>
      <c r="C79" t="inlineStr">
        <is>
          <t>مدير توضيحي 1</t>
        </is>
      </c>
      <c r="D79" t="inlineStr">
        <is>
          <t>موضوع توضيحي 078</t>
        </is>
      </c>
      <c r="E79" s="105" t="inlineStr">
        <is>
          <t>هيئة الطرق والمواصلات</t>
        </is>
      </c>
      <c r="F79" s="101" t="n"/>
      <c r="G79" s="105" t="inlineStr">
        <is>
          <t>التنمية المستدامة</t>
        </is>
      </c>
      <c r="H79" s="105" t="inlineStr">
        <is>
          <t>السياسات والاستراتيجيات البيئية والبنية التحتية</t>
        </is>
      </c>
      <c r="I79" s="105" t="inlineStr">
        <is>
          <t>منجز</t>
        </is>
      </c>
      <c r="J79" s="105" t="inlineStr">
        <is>
          <t>الربع الثاني</t>
        </is>
      </c>
      <c r="K79" s="105" t="inlineStr">
        <is>
          <t>يونيو</t>
        </is>
      </c>
      <c r="L79" s="105" t="n">
        <v>2026</v>
      </c>
    </row>
    <row r="80">
      <c r="A80" s="101" t="inlineStr">
        <is>
          <t>Sustainability_Performace_Tracker.xlsx</t>
        </is>
      </c>
      <c r="B80" s="105" t="inlineStr">
        <is>
          <t>الأجندة السنوية</t>
        </is>
      </c>
      <c r="C80" t="inlineStr">
        <is>
          <t>مدير توضيحي 2</t>
        </is>
      </c>
      <c r="D80" t="inlineStr">
        <is>
          <t>موضوع توضيحي 079</t>
        </is>
      </c>
      <c r="E80" s="105" t="inlineStr">
        <is>
          <t>القيادة العامة لشرطة دبي</t>
        </is>
      </c>
      <c r="F80" s="101" t="n"/>
      <c r="G80" s="105" t="inlineStr">
        <is>
          <t>التنمية المستدامة</t>
        </is>
      </c>
      <c r="H80" s="105" t="inlineStr">
        <is>
          <t>السياسات والاستراتيجيات الصحية والعدل</t>
        </is>
      </c>
      <c r="I80" s="105" t="inlineStr">
        <is>
          <t>قيد التطوير</t>
        </is>
      </c>
      <c r="J80" s="105" t="inlineStr">
        <is>
          <t>الربع الرابع</t>
        </is>
      </c>
      <c r="K80" s="105" t="inlineStr">
        <is>
          <t>ديسمبر</t>
        </is>
      </c>
      <c r="L80" s="105" t="n">
        <v>2026</v>
      </c>
    </row>
    <row r="81">
      <c r="A81" s="101" t="inlineStr">
        <is>
          <t>Sustainability_Performace_Tracker.xlsx</t>
        </is>
      </c>
      <c r="B81" s="105" t="inlineStr">
        <is>
          <t>الأجندة السنوية</t>
        </is>
      </c>
      <c r="C81" t="inlineStr">
        <is>
          <t>مدير توضيحي 3</t>
        </is>
      </c>
      <c r="D81" t="inlineStr">
        <is>
          <t>موضوع توضيحي 080</t>
        </is>
      </c>
      <c r="E81" s="105" t="inlineStr">
        <is>
          <t>هيئة الطرق والمواصلات</t>
        </is>
      </c>
      <c r="F81" s="101" t="n"/>
      <c r="G81" s="105" t="inlineStr">
        <is>
          <t>التنمية المستدامة</t>
        </is>
      </c>
      <c r="H81" s="105" t="inlineStr">
        <is>
          <t>السياسات والاستراتيجيات البيئية والبنية التحتية</t>
        </is>
      </c>
      <c r="I81" s="105" t="inlineStr">
        <is>
          <t>قيد التطوير</t>
        </is>
      </c>
      <c r="J81" s="105" t="inlineStr">
        <is>
          <t>الربع الرابع</t>
        </is>
      </c>
      <c r="K81" s="105" t="inlineStr">
        <is>
          <t>ديسمبر</t>
        </is>
      </c>
      <c r="L81" s="105" t="n">
        <v>2026</v>
      </c>
    </row>
    <row r="82">
      <c r="A82" s="101" t="inlineStr">
        <is>
          <t>Sustainability_Performace_Tracker.xlsx</t>
        </is>
      </c>
      <c r="B82" s="105" t="inlineStr">
        <is>
          <t>الأجندة السنوية</t>
        </is>
      </c>
      <c r="C82" t="inlineStr">
        <is>
          <t>مدير توضيحي 1</t>
        </is>
      </c>
      <c r="D82" t="inlineStr">
        <is>
          <t>موضوع توضيحي 081</t>
        </is>
      </c>
      <c r="E82" s="105" t="inlineStr">
        <is>
          <t>النيابة العامة</t>
        </is>
      </c>
      <c r="F82" s="101" t="n"/>
      <c r="G82" s="105" t="inlineStr">
        <is>
          <t>التنمية المستدامة</t>
        </is>
      </c>
      <c r="H82" s="105" t="inlineStr">
        <is>
          <t>السياسات والاستراتيجيات الصحية والعدل</t>
        </is>
      </c>
      <c r="I82" s="105" t="inlineStr">
        <is>
          <t>قيد التطوير</t>
        </is>
      </c>
      <c r="J82" s="105" t="inlineStr">
        <is>
          <t>الربع الرابع</t>
        </is>
      </c>
      <c r="K82" s="105" t="inlineStr">
        <is>
          <t>نوفمبر</t>
        </is>
      </c>
      <c r="L82" s="105" t="n">
        <v>2026</v>
      </c>
    </row>
    <row r="83">
      <c r="A83" s="101" t="inlineStr">
        <is>
          <t>Sustainability_Performace_Tracker.xlsx</t>
        </is>
      </c>
      <c r="B83" s="105" t="inlineStr">
        <is>
          <t>الأجندة السنوية</t>
        </is>
      </c>
      <c r="C83" t="inlineStr">
        <is>
          <t>مدير توضيحي 2</t>
        </is>
      </c>
      <c r="D83" t="inlineStr">
        <is>
          <t>موضوع توضيحي 082</t>
        </is>
      </c>
      <c r="E83" s="105" t="inlineStr">
        <is>
          <t>محاكم مركز دبي المالي العالمي</t>
        </is>
      </c>
      <c r="F83" s="101" t="n"/>
      <c r="G83" s="105" t="inlineStr">
        <is>
          <t>التنمية المستدامة</t>
        </is>
      </c>
      <c r="H83" s="105" t="inlineStr">
        <is>
          <t>السياسات والاستراتيجيات الصحية والعدل</t>
        </is>
      </c>
      <c r="I83" s="105" t="inlineStr">
        <is>
          <t>قيد التطوير</t>
        </is>
      </c>
      <c r="J83" s="105" t="inlineStr">
        <is>
          <t>الربع الرابع</t>
        </is>
      </c>
      <c r="K83" s="105" t="inlineStr">
        <is>
          <t>نوفمبر</t>
        </is>
      </c>
      <c r="L83" s="105" t="n">
        <v>2026</v>
      </c>
    </row>
    <row r="84">
      <c r="A84" s="101" t="inlineStr">
        <is>
          <t>Sustainability_Performace_Tracker.xlsx</t>
        </is>
      </c>
      <c r="B84" s="105" t="inlineStr">
        <is>
          <t>الأجندة السنوية</t>
        </is>
      </c>
      <c r="C84" t="inlineStr">
        <is>
          <t>مدير توضيحي 3</t>
        </is>
      </c>
      <c r="D84" t="inlineStr">
        <is>
          <t>موضوع توضيحي 083</t>
        </is>
      </c>
      <c r="E84" s="105" t="inlineStr">
        <is>
          <t>مؤسسة دبي الصحية</t>
        </is>
      </c>
      <c r="F84" s="101" t="n"/>
      <c r="G84" s="105" t="inlineStr">
        <is>
          <t>التنمية المستدامة</t>
        </is>
      </c>
      <c r="H84" s="105" t="inlineStr">
        <is>
          <t>السياسات والاستراتيجيات الصحية والعدل</t>
        </is>
      </c>
      <c r="I84" s="105" t="inlineStr">
        <is>
          <t>قيد التطوير</t>
        </is>
      </c>
      <c r="J84" s="105" t="inlineStr">
        <is>
          <t>الربع الرابع</t>
        </is>
      </c>
      <c r="K84" s="105" t="inlineStr">
        <is>
          <t>ديسمبر</t>
        </is>
      </c>
      <c r="L84" s="105" t="n">
        <v>2026</v>
      </c>
    </row>
    <row r="85">
      <c r="A85" s="101" t="inlineStr">
        <is>
          <t>Sustainability_Performace_Tracker.xlsx</t>
        </is>
      </c>
      <c r="B85" s="105" t="inlineStr">
        <is>
          <t>مستجد</t>
        </is>
      </c>
      <c r="C85" t="inlineStr">
        <is>
          <t>مدير توضيحي 1</t>
        </is>
      </c>
      <c r="D85" t="inlineStr">
        <is>
          <t>موضوع توضيحي 084</t>
        </is>
      </c>
      <c r="E85" s="105" t="inlineStr">
        <is>
          <t>هيئة الطرق والمواصلات</t>
        </is>
      </c>
      <c r="F85" s="101" t="n"/>
      <c r="G85" s="105" t="inlineStr">
        <is>
          <t>التنمية المستدامة</t>
        </is>
      </c>
      <c r="H85" s="105" t="inlineStr">
        <is>
          <t>السياسات والاستراتيجيات البيئية والبنية التحتية</t>
        </is>
      </c>
      <c r="I85" s="105" t="inlineStr">
        <is>
          <t>منجز</t>
        </is>
      </c>
      <c r="J85" s="105" t="inlineStr">
        <is>
          <t>الربع الثاني</t>
        </is>
      </c>
      <c r="K85" s="105" t="inlineStr">
        <is>
          <t>يونيو</t>
        </is>
      </c>
      <c r="L85" s="105" t="n">
        <v>2026</v>
      </c>
    </row>
    <row r="86">
      <c r="A86" s="101" t="inlineStr">
        <is>
          <t>Sustainability_Performace_Tracker.xlsx</t>
        </is>
      </c>
      <c r="B86" s="105" t="inlineStr">
        <is>
          <t>الأجندة السنوية</t>
        </is>
      </c>
      <c r="C86" t="inlineStr">
        <is>
          <t>مدير توضيحي 2</t>
        </is>
      </c>
      <c r="D86" t="inlineStr">
        <is>
          <t>موضوع توضيحي 085</t>
        </is>
      </c>
      <c r="E86" s="105" t="inlineStr">
        <is>
          <t>مؤسسة دبي الصحية</t>
        </is>
      </c>
      <c r="F86" s="101" t="n"/>
      <c r="G86" s="105" t="inlineStr">
        <is>
          <t>التنمية المستدامة</t>
        </is>
      </c>
      <c r="H86" s="105" t="inlineStr">
        <is>
          <t>السياسات والاستراتيجيات الصحية والعدل</t>
        </is>
      </c>
      <c r="I86" s="105" t="inlineStr">
        <is>
          <t>قيد التطوير</t>
        </is>
      </c>
      <c r="J86" s="105" t="inlineStr">
        <is>
          <t>الربع الرابع</t>
        </is>
      </c>
      <c r="K86" s="105" t="inlineStr">
        <is>
          <t>ديسمبر</t>
        </is>
      </c>
      <c r="L86" s="105" t="n">
        <v>2026</v>
      </c>
    </row>
    <row r="87">
      <c r="A87" s="101" t="inlineStr">
        <is>
          <t>Sustainability_Performace_Tracker.xlsx</t>
        </is>
      </c>
      <c r="B87" s="105" t="inlineStr">
        <is>
          <t>الأجندة السنوية</t>
        </is>
      </c>
      <c r="C87" t="inlineStr">
        <is>
          <t>مدير توضيحي 3</t>
        </is>
      </c>
      <c r="D87" t="inlineStr">
        <is>
          <t>موضوع توضيحي 086</t>
        </is>
      </c>
      <c r="E87" s="105" t="inlineStr">
        <is>
          <t>محاكم دبي</t>
        </is>
      </c>
      <c r="F87" s="101" t="n"/>
      <c r="G87" s="105" t="inlineStr">
        <is>
          <t>التنمية المستدامة</t>
        </is>
      </c>
      <c r="H87" s="105" t="inlineStr">
        <is>
          <t>السياسات والاستراتيجيات الصحية والعدل</t>
        </is>
      </c>
      <c r="I87" s="105" t="inlineStr">
        <is>
          <t>منجز</t>
        </is>
      </c>
      <c r="J87" s="105" t="inlineStr">
        <is>
          <t>الربع الرابع</t>
        </is>
      </c>
      <c r="K87" s="105" t="inlineStr">
        <is>
          <t>نوفمبر</t>
        </is>
      </c>
      <c r="L87" s="105" t="n">
        <v>2025</v>
      </c>
    </row>
    <row r="88">
      <c r="A88" s="101" t="inlineStr">
        <is>
          <t>Sustainability_Performace_Tracker.xlsx</t>
        </is>
      </c>
      <c r="B88" s="105" t="inlineStr">
        <is>
          <t>الأجندة السنوية</t>
        </is>
      </c>
      <c r="C88" t="inlineStr">
        <is>
          <t>مدير توضيحي 1</t>
        </is>
      </c>
      <c r="D88" t="inlineStr">
        <is>
          <t>موضوع توضيحي 087</t>
        </is>
      </c>
      <c r="E88" s="105" t="inlineStr">
        <is>
          <t>مؤسسة دبي الصحية</t>
        </is>
      </c>
      <c r="F88" s="101" t="n"/>
      <c r="G88" s="105" t="inlineStr">
        <is>
          <t>التنمية المستدامة</t>
        </is>
      </c>
      <c r="H88" s="105" t="inlineStr">
        <is>
          <t>السياسات والاستراتيجيات الصحية والعدل</t>
        </is>
      </c>
      <c r="I88" s="105" t="inlineStr">
        <is>
          <t>قيد التطوير</t>
        </is>
      </c>
      <c r="J88" s="105" t="inlineStr">
        <is>
          <t>الربع الرابع</t>
        </is>
      </c>
      <c r="K88" s="105" t="inlineStr">
        <is>
          <t>ديسمبر</t>
        </is>
      </c>
      <c r="L88" s="105" t="n">
        <v>2026</v>
      </c>
    </row>
    <row r="89">
      <c r="A89" s="101" t="inlineStr">
        <is>
          <t>Sustainability_Performace_Tracker.xlsx</t>
        </is>
      </c>
      <c r="B89" s="105" t="inlineStr">
        <is>
          <t>الأجندة السنوية</t>
        </is>
      </c>
      <c r="C89" t="inlineStr">
        <is>
          <t>مدير توضيحي 2</t>
        </is>
      </c>
      <c r="D89" t="inlineStr">
        <is>
          <t>موضوع توضيحي 088</t>
        </is>
      </c>
      <c r="E89" s="105" t="inlineStr">
        <is>
          <t>محاكم دبي</t>
        </is>
      </c>
      <c r="F89" s="101" t="n"/>
      <c r="G89" s="105" t="inlineStr">
        <is>
          <t>التنمية المستدامة</t>
        </is>
      </c>
      <c r="H89" s="105" t="inlineStr">
        <is>
          <t>السياسات والاستراتيجيات الصحية والعدل</t>
        </is>
      </c>
      <c r="I89" s="105" t="inlineStr">
        <is>
          <t>قيد التطوير</t>
        </is>
      </c>
      <c r="J89" s="105" t="inlineStr">
        <is>
          <t>الربع الرابع</t>
        </is>
      </c>
      <c r="K89" s="105" t="inlineStr">
        <is>
          <t>أكتوبر</t>
        </is>
      </c>
      <c r="L89" s="105" t="n">
        <v>2026</v>
      </c>
    </row>
    <row r="90">
      <c r="A90" s="101" t="inlineStr">
        <is>
          <t>Sustainability_Performace_Tracker.xlsx</t>
        </is>
      </c>
      <c r="B90" s="105" t="inlineStr">
        <is>
          <t>مستجد</t>
        </is>
      </c>
      <c r="C90" t="inlineStr">
        <is>
          <t>مدير توضيحي 3</t>
        </is>
      </c>
      <c r="D90" t="inlineStr">
        <is>
          <t>موضوع توضيحي 089</t>
        </is>
      </c>
      <c r="E90" s="105" t="inlineStr">
        <is>
          <t>دائرة الموارد البشرية لحكومة دبي</t>
        </is>
      </c>
      <c r="F90" s="101" t="n"/>
      <c r="G90" s="105" t="inlineStr">
        <is>
          <t>التنمية المستدامة</t>
        </is>
      </c>
      <c r="H90" s="105" t="inlineStr">
        <is>
          <t>السياسات والاستراتيجيات البيئية والبنية التحتية</t>
        </is>
      </c>
      <c r="I90" s="105" t="inlineStr">
        <is>
          <t>جاهز للعرض</t>
        </is>
      </c>
      <c r="J90" s="105" t="inlineStr">
        <is>
          <t>الربع الرابع</t>
        </is>
      </c>
      <c r="K90" s="105" t="inlineStr">
        <is>
          <t>ديسمبر</t>
        </is>
      </c>
      <c r="L90" s="105" t="n">
        <v>2025</v>
      </c>
    </row>
    <row r="91">
      <c r="A91" s="101" t="inlineStr">
        <is>
          <t>Sustainability_Performace_Tracker.xlsx</t>
        </is>
      </c>
      <c r="B91" s="105" t="inlineStr">
        <is>
          <t>الأجندة السنوية</t>
        </is>
      </c>
      <c r="C91" t="inlineStr">
        <is>
          <t>مدير توضيحي 1</t>
        </is>
      </c>
      <c r="D91" t="inlineStr">
        <is>
          <t>موضوع توضيحي 090</t>
        </is>
      </c>
      <c r="E91" s="105" t="inlineStr">
        <is>
          <t>مؤسسة دبي لخدمات الإسعاف</t>
        </is>
      </c>
      <c r="F91" s="101" t="n"/>
      <c r="G91" s="105" t="inlineStr">
        <is>
          <t>التنمية المستدامة</t>
        </is>
      </c>
      <c r="H91" s="105" t="inlineStr">
        <is>
          <t>السياسات والاستراتيجيات الصحية والعدل</t>
        </is>
      </c>
      <c r="I91" s="105" t="inlineStr">
        <is>
          <t>قيد التطوير</t>
        </is>
      </c>
      <c r="J91" s="105" t="inlineStr">
        <is>
          <t>الربع الرابع</t>
        </is>
      </c>
      <c r="K91" s="105" t="inlineStr">
        <is>
          <t>ديسمبر</t>
        </is>
      </c>
      <c r="L91" s="105" t="n">
        <v>2026</v>
      </c>
    </row>
    <row r="92">
      <c r="A92" s="101" t="inlineStr">
        <is>
          <t>Sustainability_Performace_Tracker.xlsx</t>
        </is>
      </c>
      <c r="B92" s="105" t="inlineStr">
        <is>
          <t>الأجندة السنوية</t>
        </is>
      </c>
      <c r="C92" t="inlineStr">
        <is>
          <t>مدير توضيحي 2</t>
        </is>
      </c>
      <c r="D92" t="inlineStr">
        <is>
          <t>موضوع توضيحي 091</t>
        </is>
      </c>
      <c r="E92" s="105" t="inlineStr">
        <is>
          <t>مركز دبي للأمن الإلكتروني</t>
        </is>
      </c>
      <c r="F92" s="101" t="n"/>
      <c r="G92" s="105" t="inlineStr">
        <is>
          <t>التنمية المستدامة</t>
        </is>
      </c>
      <c r="H92" s="105" t="inlineStr">
        <is>
          <t>السياسات والاستراتيجيات الصحية والعدل</t>
        </is>
      </c>
      <c r="I92" s="105" t="inlineStr">
        <is>
          <t>قيد التطوير</t>
        </is>
      </c>
      <c r="J92" s="105" t="inlineStr">
        <is>
          <t>الربع الرابع</t>
        </is>
      </c>
      <c r="K92" s="105" t="inlineStr">
        <is>
          <t>نوفمبر</t>
        </is>
      </c>
      <c r="L92" s="105" t="n">
        <v>2026</v>
      </c>
    </row>
    <row r="93">
      <c r="A93" s="101" t="inlineStr">
        <is>
          <t>Sustainability_Performace_Tracker.xlsx</t>
        </is>
      </c>
      <c r="B93" s="105" t="inlineStr">
        <is>
          <t>الأجندة السنوية</t>
        </is>
      </c>
      <c r="C93" t="inlineStr">
        <is>
          <t>مدير توضيحي 3</t>
        </is>
      </c>
      <c r="D93" t="inlineStr">
        <is>
          <t>موضوع توضيحي 092</t>
        </is>
      </c>
      <c r="E93" s="105" t="inlineStr">
        <is>
          <t>مؤسسة دبي لخدمات الإسعاف</t>
        </is>
      </c>
      <c r="F93" s="101" t="n"/>
      <c r="G93" s="105" t="inlineStr">
        <is>
          <t>التنمية المستدامة</t>
        </is>
      </c>
      <c r="H93" s="105" t="inlineStr">
        <is>
          <t>السياسات والاستراتيجيات الصحية والعدل</t>
        </is>
      </c>
      <c r="I93" s="105" t="inlineStr">
        <is>
          <t>منجز</t>
        </is>
      </c>
      <c r="J93" s="105" t="inlineStr">
        <is>
          <t>الربع الرابع</t>
        </is>
      </c>
      <c r="K93" s="105" t="inlineStr">
        <is>
          <t>ديسمبر</t>
        </is>
      </c>
      <c r="L93" s="105" t="n">
        <v>2026</v>
      </c>
    </row>
    <row r="94">
      <c r="A94" s="101" t="inlineStr">
        <is>
          <t>Sustainability_Performace_Tracker.xlsx</t>
        </is>
      </c>
      <c r="B94" s="105" t="inlineStr">
        <is>
          <t>الأجندة السنوية</t>
        </is>
      </c>
      <c r="C94" t="inlineStr">
        <is>
          <t>مدير توضيحي 1</t>
        </is>
      </c>
      <c r="D94" t="inlineStr">
        <is>
          <t>موضوع توضيحي 093</t>
        </is>
      </c>
      <c r="E94" s="105" t="inlineStr">
        <is>
          <t>هيئة الصحة بدبي</t>
        </is>
      </c>
      <c r="F94" s="101" t="n"/>
      <c r="G94" s="105" t="inlineStr">
        <is>
          <t>التنمية المستدامة</t>
        </is>
      </c>
      <c r="H94" s="105" t="inlineStr">
        <is>
          <t>السياسات والاستراتيجيات الصحية والعدل</t>
        </is>
      </c>
      <c r="I94" s="105" t="inlineStr">
        <is>
          <t>قيد التطوير</t>
        </is>
      </c>
      <c r="J94" s="105" t="inlineStr">
        <is>
          <t>الربع الرابع</t>
        </is>
      </c>
      <c r="K94" s="105" t="inlineStr">
        <is>
          <t>ديسمبر</t>
        </is>
      </c>
      <c r="L94" s="105" t="n">
        <v>2026</v>
      </c>
    </row>
    <row r="95">
      <c r="A95" s="101" t="inlineStr">
        <is>
          <t>Sustainability_Performace_Tracker.xlsx</t>
        </is>
      </c>
      <c r="B95" s="105" t="inlineStr">
        <is>
          <t>الأجندة السنوية</t>
        </is>
      </c>
      <c r="C95" t="inlineStr">
        <is>
          <t>مدير توضيحي 2</t>
        </is>
      </c>
      <c r="D95" t="inlineStr">
        <is>
          <t>موضوع توضيحي 094</t>
        </is>
      </c>
      <c r="E95" s="105" t="inlineStr">
        <is>
          <t>هيئة الطرق والمواصلات</t>
        </is>
      </c>
      <c r="F95" s="101" t="n"/>
      <c r="G95" s="105" t="inlineStr">
        <is>
          <t>التنمية المستدامة</t>
        </is>
      </c>
      <c r="H95" s="105" t="inlineStr">
        <is>
          <t>السياسات والاستراتيجيات البيئية والبنية التحتية</t>
        </is>
      </c>
      <c r="I95" s="105" t="inlineStr">
        <is>
          <t>منجز</t>
        </is>
      </c>
      <c r="J95" s="105" t="inlineStr">
        <is>
          <t>الربع الرابع</t>
        </is>
      </c>
      <c r="K95" s="105" t="inlineStr">
        <is>
          <t>ديسمبر</t>
        </is>
      </c>
      <c r="L95" s="105" t="n">
        <v>2025</v>
      </c>
      <c r="M95" s="105" t="inlineStr">
        <is>
          <t>يناير</t>
        </is>
      </c>
    </row>
    <row r="96">
      <c r="A96" s="101" t="inlineStr">
        <is>
          <t>Sustainability_Performace_Tracker.xlsx</t>
        </is>
      </c>
      <c r="B96" s="105" t="inlineStr">
        <is>
          <t>الأجندة السنوية</t>
        </is>
      </c>
      <c r="C96" t="inlineStr">
        <is>
          <t>مدير توضيحي 3</t>
        </is>
      </c>
      <c r="D96" t="inlineStr">
        <is>
          <t>موضوع توضيحي 095</t>
        </is>
      </c>
      <c r="E96" s="105" t="inlineStr">
        <is>
          <t>مؤسسة دبي للمطارات</t>
        </is>
      </c>
      <c r="F96" s="101" t="n"/>
      <c r="G96" s="105" t="inlineStr">
        <is>
          <t>التنمية المستدامة</t>
        </is>
      </c>
      <c r="H96" s="105" t="inlineStr">
        <is>
          <t>السياسات والاستراتيجيات البيئية والبنية التحتية</t>
        </is>
      </c>
      <c r="I96" s="105" t="inlineStr">
        <is>
          <t>قيد المراجعة</t>
        </is>
      </c>
      <c r="J96" s="105" t="inlineStr">
        <is>
          <t>الربع الرابع</t>
        </is>
      </c>
      <c r="K96" s="105" t="inlineStr">
        <is>
          <t>أكتوبر</t>
        </is>
      </c>
      <c r="L96" s="105" t="n">
        <v>2026</v>
      </c>
    </row>
    <row r="97">
      <c r="A97" s="101" t="inlineStr">
        <is>
          <t>Sustainability_Performace_Tracker.xlsx</t>
        </is>
      </c>
      <c r="B97" s="105" t="inlineStr">
        <is>
          <t>الأجندة السنوية</t>
        </is>
      </c>
      <c r="C97" t="inlineStr">
        <is>
          <t>مدير توضيحي 1</t>
        </is>
      </c>
      <c r="D97" t="inlineStr">
        <is>
          <t>موضوع توضيحي 096</t>
        </is>
      </c>
      <c r="E97" s="105" t="inlineStr">
        <is>
          <t>بلدية دبي</t>
        </is>
      </c>
      <c r="F97" s="101" t="n"/>
      <c r="G97" s="105" t="inlineStr">
        <is>
          <t>التنمية المستدامة</t>
        </is>
      </c>
      <c r="H97" s="105" t="inlineStr">
        <is>
          <t>السياسات والاستراتيجيات البيئية والبنية التحتية</t>
        </is>
      </c>
      <c r="I97" s="105" t="inlineStr">
        <is>
          <t>قيد التطوير</t>
        </is>
      </c>
      <c r="J97" s="105" t="inlineStr">
        <is>
          <t>الربع الرابع</t>
        </is>
      </c>
      <c r="K97" s="105" t="inlineStr">
        <is>
          <t>ديسمبر</t>
        </is>
      </c>
      <c r="L97" s="105" t="n">
        <v>2026</v>
      </c>
    </row>
    <row r="98">
      <c r="A98" s="101" t="inlineStr">
        <is>
          <t>Sustainability_Performace_Tracker.xlsx</t>
        </is>
      </c>
      <c r="B98" s="105" t="inlineStr">
        <is>
          <t>الأجندة السنوية</t>
        </is>
      </c>
      <c r="C98" t="inlineStr">
        <is>
          <t>مدير توضيحي 2</t>
        </is>
      </c>
      <c r="D98" t="inlineStr">
        <is>
          <t>موضوع توضيحي 097</t>
        </is>
      </c>
      <c r="E98" s="105" t="inlineStr">
        <is>
          <t>مؤسسة الاتصالات المتخصصة (نداء)</t>
        </is>
      </c>
      <c r="F98" s="101" t="n"/>
      <c r="G98" s="105" t="inlineStr">
        <is>
          <t>التنمية المستدامة</t>
        </is>
      </c>
      <c r="H98" s="105" t="inlineStr">
        <is>
          <t>السياسات والاستراتيجيات البيئية والبنية التحتية</t>
        </is>
      </c>
      <c r="I98" s="105" t="inlineStr">
        <is>
          <t>قيد التطوير</t>
        </is>
      </c>
      <c r="J98" s="105" t="inlineStr">
        <is>
          <t>الربع الرابع</t>
        </is>
      </c>
      <c r="K98" s="105" t="inlineStr">
        <is>
          <t>ديسمبر</t>
        </is>
      </c>
      <c r="L98" s="105" t="n">
        <v>2026</v>
      </c>
    </row>
    <row r="99">
      <c r="A99" s="101" t="inlineStr">
        <is>
          <t>Sustainability_Performace_Tracker.xlsx</t>
        </is>
      </c>
      <c r="B99" s="105" t="inlineStr">
        <is>
          <t>مستجد</t>
        </is>
      </c>
      <c r="C99" t="inlineStr">
        <is>
          <t>مدير توضيحي 3</t>
        </is>
      </c>
      <c r="D99" t="inlineStr">
        <is>
          <t>موضوع توضيحي 098</t>
        </is>
      </c>
      <c r="E99" s="105" t="inlineStr">
        <is>
          <t>اللجنة العليا للتخطيط الحضري</t>
        </is>
      </c>
      <c r="F99" s="101" t="n"/>
      <c r="G99" s="105" t="inlineStr">
        <is>
          <t>التنمية المستدامة</t>
        </is>
      </c>
      <c r="H99" s="105" t="inlineStr">
        <is>
          <t>السياسات والاستراتيجيات البيئية والبنية التحتية</t>
        </is>
      </c>
      <c r="I99" s="105" t="inlineStr">
        <is>
          <t>جاهز للعرض</t>
        </is>
      </c>
      <c r="J99" s="105" t="inlineStr">
        <is>
          <t>الربع الأول</t>
        </is>
      </c>
      <c r="K99" s="105" t="inlineStr">
        <is>
          <t>فبراير</t>
        </is>
      </c>
      <c r="L99" s="105" t="n">
        <v>2026</v>
      </c>
    </row>
    <row r="100">
      <c r="A100" s="101" t="inlineStr">
        <is>
          <t>Sustainability_Performace_Tracker.xlsx</t>
        </is>
      </c>
      <c r="B100" s="105" t="inlineStr">
        <is>
          <t>الأجندة السنوية</t>
        </is>
      </c>
      <c r="C100" t="inlineStr">
        <is>
          <t>مدير توضيحي 1</t>
        </is>
      </c>
      <c r="D100" t="inlineStr">
        <is>
          <t>موضوع توضيحي 099</t>
        </is>
      </c>
      <c r="E100" s="105" t="inlineStr">
        <is>
          <t>مركز الإمارات العالمي للاعتماد</t>
        </is>
      </c>
      <c r="F100" s="101" t="n"/>
      <c r="G100" s="105" t="inlineStr">
        <is>
          <t>التنمية المستدامة</t>
        </is>
      </c>
      <c r="H100" s="105" t="inlineStr">
        <is>
          <t>السياسات والاستراتيجيات البيئية والبنية التحتية</t>
        </is>
      </c>
      <c r="I100" s="105" t="inlineStr">
        <is>
          <t>قيد التطوير</t>
        </is>
      </c>
      <c r="J100" s="105" t="inlineStr">
        <is>
          <t>الربع الرابع</t>
        </is>
      </c>
      <c r="K100" s="105" t="inlineStr">
        <is>
          <t>ديسمبر</t>
        </is>
      </c>
      <c r="L100" s="105" t="n">
        <v>2026</v>
      </c>
    </row>
    <row r="101">
      <c r="A101" s="101" t="inlineStr">
        <is>
          <t>Sustainability_Performace_Tracker.xlsx</t>
        </is>
      </c>
      <c r="B101" s="105" t="inlineStr">
        <is>
          <t>الأجندة السنوية</t>
        </is>
      </c>
      <c r="C101" t="inlineStr">
        <is>
          <t>مدير توضيحي 2</t>
        </is>
      </c>
      <c r="D101" t="inlineStr">
        <is>
          <t>موضوع توضيحي 100</t>
        </is>
      </c>
      <c r="E101" s="105" t="inlineStr">
        <is>
          <t>اللجنة العليا للتخطيط الحضري</t>
        </is>
      </c>
      <c r="F101" s="101" t="n"/>
      <c r="G101" s="105" t="inlineStr">
        <is>
          <t>التنمية المستدامة</t>
        </is>
      </c>
      <c r="H101" s="105" t="inlineStr">
        <is>
          <t>السياسات والاستراتيجيات البيئية والبنية التحتية</t>
        </is>
      </c>
      <c r="I101" s="105" t="inlineStr">
        <is>
          <t>قيد التطوير</t>
        </is>
      </c>
      <c r="J101" s="105" t="inlineStr">
        <is>
          <t>الربع الرابع</t>
        </is>
      </c>
      <c r="K101" s="105" t="inlineStr">
        <is>
          <t>نوفمبر</t>
        </is>
      </c>
      <c r="L101" s="105" t="n">
        <v>2026</v>
      </c>
    </row>
    <row r="102">
      <c r="A102" s="101" t="inlineStr">
        <is>
          <t>Sustainability_Performace_Tracker.xlsx</t>
        </is>
      </c>
      <c r="B102" s="105" t="inlineStr">
        <is>
          <t>الأجندة السنوية</t>
        </is>
      </c>
      <c r="C102" t="inlineStr">
        <is>
          <t>مدير توضيحي 3</t>
        </is>
      </c>
      <c r="D102" t="inlineStr">
        <is>
          <t>موضوع توضيحي 101</t>
        </is>
      </c>
      <c r="E102" s="105" t="inlineStr">
        <is>
          <t>هيئة دبي للبيئة والتغير المناخي</t>
        </is>
      </c>
      <c r="F102" s="101" t="n"/>
      <c r="G102" s="105" t="inlineStr">
        <is>
          <t>التنمية المستدامة</t>
        </is>
      </c>
      <c r="H102" s="105" t="inlineStr">
        <is>
          <t>السياسات والاستراتيجيات البيئية والبنية التحتية</t>
        </is>
      </c>
      <c r="I102" s="105" t="inlineStr">
        <is>
          <t>قيد التطوير</t>
        </is>
      </c>
      <c r="J102" s="105" t="inlineStr">
        <is>
          <t>الربع الرابع</t>
        </is>
      </c>
      <c r="K102" s="105" t="inlineStr">
        <is>
          <t>ديسمبر</t>
        </is>
      </c>
      <c r="L102" s="105" t="n">
        <v>2026</v>
      </c>
    </row>
    <row r="103">
      <c r="A103" s="101" t="inlineStr">
        <is>
          <t>Sustainability_Performace_Tracker.xlsx</t>
        </is>
      </c>
      <c r="B103" s="105" t="inlineStr">
        <is>
          <t>الأجندة السنوية</t>
        </is>
      </c>
      <c r="C103" t="inlineStr">
        <is>
          <t>مدير توضيحي 1</t>
        </is>
      </c>
      <c r="D103" t="inlineStr">
        <is>
          <t>موضوع توضيحي 102</t>
        </is>
      </c>
      <c r="E103" s="105" t="inlineStr">
        <is>
          <t>بلدية دبي</t>
        </is>
      </c>
      <c r="F103" s="101" t="n"/>
      <c r="G103" s="105" t="inlineStr">
        <is>
          <t>التنمية المستدامة</t>
        </is>
      </c>
      <c r="H103" s="105" t="inlineStr">
        <is>
          <t>السياسات والاستراتيجيات البيئية والبنية التحتية</t>
        </is>
      </c>
      <c r="I103" s="105" t="inlineStr">
        <is>
          <t>قيد التطوير</t>
        </is>
      </c>
      <c r="J103" s="105" t="inlineStr">
        <is>
          <t>الربع الرابع</t>
        </is>
      </c>
      <c r="K103" s="105" t="inlineStr">
        <is>
          <t>نوفمبر</t>
        </is>
      </c>
      <c r="L103" s="105" t="n">
        <v>2026</v>
      </c>
    </row>
    <row r="104">
      <c r="A104" s="101" t="inlineStr">
        <is>
          <t>Sustainability_Performace_Tracker.xlsx</t>
        </is>
      </c>
      <c r="B104" s="105" t="inlineStr">
        <is>
          <t>الأجندة السنوية</t>
        </is>
      </c>
      <c r="C104" t="inlineStr">
        <is>
          <t>مدير توضيحي 2</t>
        </is>
      </c>
      <c r="D104" t="inlineStr">
        <is>
          <t>موضوع توضيحي 103</t>
        </is>
      </c>
      <c r="E104" s="105" t="inlineStr">
        <is>
          <t>هيئة دبي للبيئة والتغير المناخي</t>
        </is>
      </c>
      <c r="F104" s="101" t="n"/>
      <c r="G104" s="105" t="inlineStr">
        <is>
          <t>التنمية المستدامة</t>
        </is>
      </c>
      <c r="H104" s="105" t="inlineStr">
        <is>
          <t>السياسات والاستراتيجيات البيئية والبنية التحتية</t>
        </is>
      </c>
      <c r="I104" s="105" t="inlineStr">
        <is>
          <t>قيد التطوير</t>
        </is>
      </c>
      <c r="J104" s="105" t="inlineStr">
        <is>
          <t>الربع الرابع</t>
        </is>
      </c>
      <c r="K104" s="105" t="inlineStr">
        <is>
          <t>ديسمبر</t>
        </is>
      </c>
      <c r="L104" s="105" t="n">
        <v>2026</v>
      </c>
    </row>
    <row r="105">
      <c r="A105" s="101" t="inlineStr">
        <is>
          <t>Sustainability_Performace_Tracker.xlsx</t>
        </is>
      </c>
      <c r="B105" s="105" t="inlineStr">
        <is>
          <t>الأجندة السنوية</t>
        </is>
      </c>
      <c r="C105" t="inlineStr">
        <is>
          <t>مدير توضيحي 3</t>
        </is>
      </c>
      <c r="D105" t="inlineStr">
        <is>
          <t>موضوع توضيحي 104</t>
        </is>
      </c>
      <c r="E105" s="105" t="inlineStr">
        <is>
          <t>هيئة دبي للبيئة والتغير المناخي</t>
        </is>
      </c>
      <c r="F105" s="101" t="n"/>
      <c r="G105" s="105" t="inlineStr">
        <is>
          <t>التنمية المستدامة</t>
        </is>
      </c>
      <c r="H105" s="105" t="inlineStr">
        <is>
          <t>السياسات والاستراتيجيات البيئية والبنية التحتية</t>
        </is>
      </c>
      <c r="I105" s="105" t="inlineStr">
        <is>
          <t>منجز</t>
        </is>
      </c>
      <c r="J105" s="105" t="inlineStr">
        <is>
          <t>الربع الأول</t>
        </is>
      </c>
    </row>
    <row r="106">
      <c r="A106" s="101" t="inlineStr">
        <is>
          <t>Sustainability_Performace_Tracker.xlsx</t>
        </is>
      </c>
      <c r="B106" s="105" t="inlineStr">
        <is>
          <t>الأجندة السنوية</t>
        </is>
      </c>
      <c r="C106" t="inlineStr">
        <is>
          <t>مدير توضيحي 1</t>
        </is>
      </c>
      <c r="D106" t="inlineStr">
        <is>
          <t>موضوع توضيحي 105</t>
        </is>
      </c>
      <c r="E106" s="105" t="inlineStr">
        <is>
          <t>هيئة دبي للبيئة والتغير المناخي</t>
        </is>
      </c>
      <c r="F106" s="101" t="n"/>
      <c r="G106" s="105" t="inlineStr">
        <is>
          <t>التنمية المستدامة</t>
        </is>
      </c>
      <c r="H106" s="105" t="inlineStr">
        <is>
          <t>السياسات والاستراتيجيات البيئية والبنية التحتية</t>
        </is>
      </c>
      <c r="I106" s="105" t="inlineStr">
        <is>
          <t>قيد التطوير</t>
        </is>
      </c>
      <c r="J106" s="105" t="inlineStr">
        <is>
          <t>الربع الرابع</t>
        </is>
      </c>
      <c r="K106" s="105" t="inlineStr">
        <is>
          <t>ديسمبر</t>
        </is>
      </c>
      <c r="L106" s="105" t="n">
        <v>2026</v>
      </c>
    </row>
    <row r="107">
      <c r="A107" s="101" t="inlineStr">
        <is>
          <t>Sustainability_Performace_Tracker.xlsx</t>
        </is>
      </c>
      <c r="B107" s="105" t="inlineStr">
        <is>
          <t>الأجندة السنوية</t>
        </is>
      </c>
      <c r="C107" t="inlineStr">
        <is>
          <t>مدير توضيحي 2</t>
        </is>
      </c>
      <c r="D107" t="inlineStr">
        <is>
          <t>موضوع توضيحي 106</t>
        </is>
      </c>
      <c r="E107" s="105" t="inlineStr">
        <is>
          <t>هيئة دبي للطيران المدني</t>
        </is>
      </c>
      <c r="F107" s="101" t="n"/>
      <c r="G107" s="105" t="inlineStr">
        <is>
          <t>التنمية المستدامة</t>
        </is>
      </c>
      <c r="H107" s="105" t="inlineStr">
        <is>
          <t>السياسات والاستراتيجيات البيئية والبنية التحتية</t>
        </is>
      </c>
      <c r="I107" s="105" t="inlineStr">
        <is>
          <t>قيد التطوير</t>
        </is>
      </c>
      <c r="J107" s="105" t="inlineStr">
        <is>
          <t>الربع الرابع</t>
        </is>
      </c>
      <c r="K107" s="105" t="inlineStr">
        <is>
          <t>نوفمبر</t>
        </is>
      </c>
      <c r="L107" s="105" t="n">
        <v>2026</v>
      </c>
    </row>
    <row r="108">
      <c r="A108" s="101" t="inlineStr">
        <is>
          <t>Sustainability_Performace_Tracker.xlsx</t>
        </is>
      </c>
      <c r="B108" s="105" t="inlineStr">
        <is>
          <t>الأجندة السنوية</t>
        </is>
      </c>
      <c r="C108" t="inlineStr">
        <is>
          <t>مدير توضيحي 3</t>
        </is>
      </c>
      <c r="D108" t="inlineStr">
        <is>
          <t>موضوع توضيحي 107</t>
        </is>
      </c>
      <c r="E108" s="105" t="inlineStr">
        <is>
          <t>هيئة الطرق والمواصلات</t>
        </is>
      </c>
      <c r="F108" s="101" t="n"/>
      <c r="G108" s="105" t="inlineStr">
        <is>
          <t>التنمية المستدامة</t>
        </is>
      </c>
      <c r="H108" s="105" t="inlineStr">
        <is>
          <t>السياسات والاستراتيجيات البيئية والبنية التحتية</t>
        </is>
      </c>
      <c r="I108" s="105" t="inlineStr">
        <is>
          <t>قيد التطوير</t>
        </is>
      </c>
      <c r="J108" s="105" t="inlineStr">
        <is>
          <t>الربع الرابع</t>
        </is>
      </c>
      <c r="K108" s="105" t="inlineStr">
        <is>
          <t>ديسمبر</t>
        </is>
      </c>
      <c r="L108" s="105" t="n">
        <v>2026</v>
      </c>
    </row>
    <row r="109">
      <c r="A109" s="101" t="inlineStr">
        <is>
          <t>Sustainability_Performace_Tracker.xlsx</t>
        </is>
      </c>
      <c r="B109" s="105" t="inlineStr">
        <is>
          <t>الأجندة السنوية</t>
        </is>
      </c>
      <c r="C109" t="inlineStr">
        <is>
          <t>مدير توضيحي 1</t>
        </is>
      </c>
      <c r="D109" t="inlineStr">
        <is>
          <t>موضوع توضيحي 108</t>
        </is>
      </c>
      <c r="E109" s="105" t="inlineStr">
        <is>
          <t>جمارك دبي</t>
        </is>
      </c>
      <c r="F109" s="101" t="n"/>
      <c r="G109" s="105" t="inlineStr">
        <is>
          <t>التنمية المستدامة</t>
        </is>
      </c>
      <c r="H109" s="105" t="inlineStr">
        <is>
          <t>السياسات والاستراتيجيات الصحية والعدل</t>
        </is>
      </c>
      <c r="I109" s="105" t="inlineStr">
        <is>
          <t>قيد التطوير</t>
        </is>
      </c>
      <c r="J109" s="105" t="inlineStr">
        <is>
          <t>الربع الرابع</t>
        </is>
      </c>
      <c r="K109" s="105" t="inlineStr">
        <is>
          <t>ديسمبر</t>
        </is>
      </c>
      <c r="L109" s="105" t="n">
        <v>2026</v>
      </c>
    </row>
    <row r="110">
      <c r="A110" s="101" t="inlineStr">
        <is>
          <t>Sustainability_Performace_Tracker.xlsx</t>
        </is>
      </c>
      <c r="B110" s="105" t="inlineStr">
        <is>
          <t>الأجندة السنوية</t>
        </is>
      </c>
      <c r="C110" t="inlineStr">
        <is>
          <t>مدير توضيحي 2</t>
        </is>
      </c>
      <c r="D110" t="inlineStr">
        <is>
          <t>موضوع توضيحي 109</t>
        </is>
      </c>
      <c r="E110" s="105" t="inlineStr">
        <is>
          <t>اللجنة العليا للتخطيط الحضري</t>
        </is>
      </c>
      <c r="F110" s="101" t="n"/>
      <c r="G110" s="105" t="inlineStr">
        <is>
          <t>التنمية المستدامة</t>
        </is>
      </c>
      <c r="H110" s="105" t="inlineStr">
        <is>
          <t>السياسات والاستراتيجيات البيئية والبنية التحتية</t>
        </is>
      </c>
      <c r="I110" s="105" t="inlineStr">
        <is>
          <t>قيد التطوير</t>
        </is>
      </c>
      <c r="J110" s="105" t="inlineStr">
        <is>
          <t>الربع الرابع</t>
        </is>
      </c>
      <c r="K110" s="105" t="inlineStr">
        <is>
          <t>نوفمبر</t>
        </is>
      </c>
      <c r="L110" s="105" t="n">
        <v>2026</v>
      </c>
    </row>
    <row r="111">
      <c r="A111" s="101" t="inlineStr">
        <is>
          <t>Sustainability_Performace_Tracker.xlsx</t>
        </is>
      </c>
      <c r="B111" s="105" t="inlineStr">
        <is>
          <t>الأجندة السنوية</t>
        </is>
      </c>
      <c r="C111" t="inlineStr">
        <is>
          <t>مدير توضيحي 3</t>
        </is>
      </c>
      <c r="D111" t="inlineStr">
        <is>
          <t>موضوع توضيحي 110</t>
        </is>
      </c>
      <c r="E111" s="105" t="inlineStr">
        <is>
          <t>مؤسسة الموانئ والجمارك والمنطقة الحرة</t>
        </is>
      </c>
      <c r="F111" s="101" t="n"/>
      <c r="G111" s="105" t="inlineStr">
        <is>
          <t>التنمية المستدامة</t>
        </is>
      </c>
      <c r="H111" s="105" t="inlineStr">
        <is>
          <t>السياسات والاستراتيجيات البيئية والبنية التحتية</t>
        </is>
      </c>
      <c r="I111" s="105" t="inlineStr">
        <is>
          <t>جاهز للعرض</t>
        </is>
      </c>
      <c r="J111" s="105" t="inlineStr">
        <is>
          <t>الربع الرابع</t>
        </is>
      </c>
      <c r="K111" s="105" t="inlineStr">
        <is>
          <t>ديسمبر</t>
        </is>
      </c>
      <c r="L111" s="105" t="n">
        <v>2025</v>
      </c>
      <c r="M111" s="105" t="inlineStr">
        <is>
          <t>مارس</t>
        </is>
      </c>
    </row>
    <row r="112">
      <c r="A112" s="101" t="inlineStr">
        <is>
          <t>Sustainability_Performace_Tracker.xlsx</t>
        </is>
      </c>
      <c r="B112" s="105" t="inlineStr">
        <is>
          <t>الأجندة السنوية</t>
        </is>
      </c>
      <c r="C112" t="inlineStr">
        <is>
          <t>مدير توضيحي 1</t>
        </is>
      </c>
      <c r="D112" t="inlineStr">
        <is>
          <t>موضوع توضيحي 111</t>
        </is>
      </c>
      <c r="E112" s="105" t="inlineStr">
        <is>
          <t>القيادة العامة لشرطة دبي</t>
        </is>
      </c>
      <c r="F112" s="101" t="n"/>
      <c r="G112" s="105" t="inlineStr">
        <is>
          <t>التنمية المستدامة</t>
        </is>
      </c>
      <c r="H112" s="105" t="inlineStr">
        <is>
          <t>السياسات والاستراتيجيات الصحية والعدل</t>
        </is>
      </c>
      <c r="I112" s="105" t="inlineStr">
        <is>
          <t>منجز</t>
        </is>
      </c>
      <c r="J112" s="105" t="inlineStr">
        <is>
          <t>الربع الأول</t>
        </is>
      </c>
    </row>
    <row r="113">
      <c r="A113" s="101" t="inlineStr">
        <is>
          <t>Sustainability_Performace_Tracker.xlsx</t>
        </is>
      </c>
      <c r="B113" s="105" t="inlineStr">
        <is>
          <t>الأجندة السنوية</t>
        </is>
      </c>
      <c r="C113" t="inlineStr">
        <is>
          <t>مدير توضيحي 2</t>
        </is>
      </c>
      <c r="D113" t="inlineStr">
        <is>
          <t>موضوع توضيحي 112</t>
        </is>
      </c>
      <c r="E113" s="105" t="inlineStr">
        <is>
          <t>محاكم دبي</t>
        </is>
      </c>
      <c r="F113" s="101" t="n"/>
      <c r="G113" s="105" t="inlineStr">
        <is>
          <t>التنمية المستدامة</t>
        </is>
      </c>
      <c r="H113" s="105" t="inlineStr">
        <is>
          <t>السياسات والاستراتيجيات الصحية والعدل</t>
        </is>
      </c>
      <c r="I113" s="105" t="inlineStr">
        <is>
          <t>منجز</t>
        </is>
      </c>
      <c r="J113" s="105" t="inlineStr">
        <is>
          <t>الربع الأول</t>
        </is>
      </c>
    </row>
    <row r="114">
      <c r="A114" s="101" t="inlineStr">
        <is>
          <t>Sustainability_Performace_Tracker.xlsx</t>
        </is>
      </c>
      <c r="B114" s="105" t="inlineStr">
        <is>
          <t>مستجد</t>
        </is>
      </c>
      <c r="C114" t="inlineStr">
        <is>
          <t>مدير توضيحي 3</t>
        </is>
      </c>
      <c r="D114" t="inlineStr">
        <is>
          <t>موضوع توضيحي 113</t>
        </is>
      </c>
      <c r="E114" s="105" t="inlineStr">
        <is>
          <t>هيئة الطرق والمواصلات</t>
        </is>
      </c>
      <c r="F114" s="101" t="n"/>
      <c r="G114" s="105" t="inlineStr">
        <is>
          <t>التنمية المستدامة</t>
        </is>
      </c>
      <c r="H114" s="105" t="inlineStr">
        <is>
          <t>السياسات والاستراتيجيات البيئية والبنية التحتية</t>
        </is>
      </c>
      <c r="I114" s="105" t="inlineStr">
        <is>
          <t>منجز</t>
        </is>
      </c>
      <c r="J114" s="105" t="inlineStr">
        <is>
          <t>الربع الأول</t>
        </is>
      </c>
      <c r="K114" s="105" t="inlineStr">
        <is>
          <t>يناير</t>
        </is>
      </c>
      <c r="L114" s="105" t="n">
        <v>2026</v>
      </c>
    </row>
    <row r="115">
      <c r="A115" s="101" t="inlineStr">
        <is>
          <t>Sustainability_Performace_Tracker.xlsx</t>
        </is>
      </c>
      <c r="B115" s="105" t="inlineStr">
        <is>
          <t>الأجندة السنوية</t>
        </is>
      </c>
      <c r="C115" t="inlineStr">
        <is>
          <t>مدير توضيحي 1</t>
        </is>
      </c>
      <c r="D115" t="inlineStr">
        <is>
          <t>موضوع توضيحي 114</t>
        </is>
      </c>
      <c r="E115" s="105" t="inlineStr">
        <is>
          <t>القيادة العامة للدفاع المدني - دبي</t>
        </is>
      </c>
      <c r="F115" s="101" t="n"/>
      <c r="G115" s="105" t="inlineStr">
        <is>
          <t>التنمية المستدامة</t>
        </is>
      </c>
      <c r="H115" s="105" t="inlineStr">
        <is>
          <t>السياسات والاستراتيجيات البيئية والبنية التحتية</t>
        </is>
      </c>
      <c r="I115" s="105" t="inlineStr">
        <is>
          <t>قيد التطوير</t>
        </is>
      </c>
      <c r="J115" s="105" t="inlineStr">
        <is>
          <t>الربع الرابع</t>
        </is>
      </c>
      <c r="K115" s="105" t="inlineStr">
        <is>
          <t>ديسمبر</t>
        </is>
      </c>
      <c r="L115" s="105" t="n">
        <v>2026</v>
      </c>
    </row>
    <row r="116">
      <c r="A116" s="101" t="inlineStr">
        <is>
          <t>Sustainability_Performace_Tracker.xlsx</t>
        </is>
      </c>
      <c r="B116" s="105" t="inlineStr">
        <is>
          <t>الأجندة السنوية</t>
        </is>
      </c>
      <c r="C116" t="inlineStr">
        <is>
          <t>مدير توضيحي 2</t>
        </is>
      </c>
      <c r="D116" t="inlineStr">
        <is>
          <t>موضوع توضيحي 115</t>
        </is>
      </c>
      <c r="E116" s="105" t="inlineStr">
        <is>
          <t>مؤسسة دبي لخدمات الإسعاف</t>
        </is>
      </c>
      <c r="F116" s="101" t="n"/>
      <c r="G116" s="105" t="inlineStr">
        <is>
          <t>التنمية المستدامة</t>
        </is>
      </c>
      <c r="H116" s="105" t="inlineStr">
        <is>
          <t>السياسات والاستراتيجيات الصحية والعدل</t>
        </is>
      </c>
      <c r="I116" s="105" t="inlineStr">
        <is>
          <t>منجز</t>
        </is>
      </c>
      <c r="J116" s="105" t="inlineStr">
        <is>
          <t>الربع الثالث</t>
        </is>
      </c>
      <c r="K116" s="105" t="inlineStr">
        <is>
          <t>يوليو</t>
        </is>
      </c>
      <c r="L116" s="105" t="n">
        <v>2026</v>
      </c>
    </row>
    <row r="117">
      <c r="A117" s="101" t="inlineStr">
        <is>
          <t>Sustainability_Performace_Tracker.xlsx</t>
        </is>
      </c>
      <c r="B117" s="105" t="inlineStr">
        <is>
          <t>الأجندة السنوية</t>
        </is>
      </c>
      <c r="C117" t="inlineStr">
        <is>
          <t>مدير توضيحي 3</t>
        </is>
      </c>
      <c r="D117" t="inlineStr">
        <is>
          <t>موضوع توضيحي 116</t>
        </is>
      </c>
      <c r="E117" s="105" t="inlineStr">
        <is>
          <t>مؤسسة دبي الصحية</t>
        </is>
      </c>
      <c r="F117" s="101" t="n"/>
      <c r="G117" s="105" t="inlineStr">
        <is>
          <t>التنمية المستدامة</t>
        </is>
      </c>
      <c r="H117" s="105" t="inlineStr">
        <is>
          <t>السياسات والاستراتيجيات الصحية والعدل</t>
        </is>
      </c>
      <c r="I117" s="105" t="inlineStr">
        <is>
          <t>منجز</t>
        </is>
      </c>
      <c r="J117" s="105" t="inlineStr">
        <is>
          <t>الربع الأول</t>
        </is>
      </c>
      <c r="K117" s="105" t="inlineStr">
        <is>
          <t>مارس</t>
        </is>
      </c>
      <c r="L117" s="105" t="n">
        <v>2026</v>
      </c>
    </row>
    <row r="118">
      <c r="A118" s="101" t="inlineStr">
        <is>
          <t>Sustainability_Performace_Tracker.xlsx</t>
        </is>
      </c>
      <c r="B118" s="105" t="inlineStr">
        <is>
          <t>الأجندة السنوية</t>
        </is>
      </c>
      <c r="C118" t="inlineStr">
        <is>
          <t>مدير توضيحي 1</t>
        </is>
      </c>
      <c r="D118" t="inlineStr">
        <is>
          <t>موضوع توضيحي 117</t>
        </is>
      </c>
      <c r="E118" s="105" t="inlineStr">
        <is>
          <t>هيئة الصحة بدبي</t>
        </is>
      </c>
      <c r="F118" s="101" t="n"/>
      <c r="G118" s="105" t="inlineStr">
        <is>
          <t>التنمية المستدامة</t>
        </is>
      </c>
      <c r="H118" s="105" t="inlineStr">
        <is>
          <t>السياسات والاستراتيجيات الصحية والعدل</t>
        </is>
      </c>
      <c r="I118" s="105" t="inlineStr">
        <is>
          <t>منجز</t>
        </is>
      </c>
      <c r="J118" s="105" t="inlineStr">
        <is>
          <t>الربع الأول</t>
        </is>
      </c>
      <c r="K118" s="105" t="inlineStr">
        <is>
          <t>مارس</t>
        </is>
      </c>
      <c r="L118" s="105" t="n">
        <v>2026</v>
      </c>
    </row>
  </sheetData>
  <conditionalFormatting sqref="C119:C1048576 D1:D118">
    <cfRule type="duplicateValues" priority="1" dxfId="0"/>
  </conditionalFormatting>
  <dataValidations count="9">
    <dataValidation sqref="F118" showDropDown="0" showInputMessage="1" showErrorMessage="1" allowBlank="1" errorTitle="اختيار خاطئ!" error="يرجى الاختيار من القائمة فقط."/>
    <dataValidation sqref="H2:H118" showDropDown="0" showInputMessage="1" showErrorMessage="1" allowBlank="1" errorTitle="اختيار خاطئ!" error="يرجى الاختيار من القائمة فقط." type="list">
      <formula1>DepartmentsList</formula1>
    </dataValidation>
    <dataValidation sqref="L2:L118" showDropDown="0" showInputMessage="1" showErrorMessage="1" allowBlank="1" errorTitle="اختيار خاطئ!" error="يرجى الاختيار من القائمة فقط." type="list">
      <formula1>YearsList</formula1>
    </dataValidation>
    <dataValidation sqref="K2:K118 M2:M118" showDropDown="0" showInputMessage="1" showErrorMessage="1" allowBlank="1" errorTitle="اختيار خاطئ!" error="يرجى الاختيار من القائمة فقط." type="list">
      <formula1>MonthsList</formula1>
    </dataValidation>
    <dataValidation sqref="J2:J118" showDropDown="0" showInputMessage="1" showErrorMessage="1" allowBlank="1" errorTitle="اختيار خاطئ!" error="يرجى الاختيار من القائمة فقط." type="list">
      <formula1>QuartersList</formula1>
    </dataValidation>
    <dataValidation sqref="I2:I118" showDropDown="0" showInputMessage="1" showErrorMessage="1" allowBlank="1" errorTitle="اختيار خاطئ!" error="يرجى الاختيار من القائمة فقط." type="list">
      <formula1>AgendaStatusList</formula1>
    </dataValidation>
    <dataValidation sqref="B2:B118" showDropDown="0" showInputMessage="1" showErrorMessage="1" allowBlank="1" errorTitle="اختيار خاطئ!" error="يرجى الاختيار من القائمة فقط." type="list">
      <formula1>TopicTypesList</formula1>
    </dataValidation>
    <dataValidation sqref="G2:G118" showDropDown="0" showInputMessage="1" showErrorMessage="1" allowBlank="1" errorTitle="اختيار خاطئ!" error="يرجى الاختيار من القائمة فقط." type="list">
      <formula1>SectorsList</formula1>
    </dataValidation>
    <dataValidation sqref="E2:E118" showDropDown="0" showInputMessage="1" showErrorMessage="1" allowBlank="1" errorTitle="اختيار خاطئ!" error="يرجى الاختيار من القائمة فقط." type="list">
      <formula1>EntitiesList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65"/>
  <sheetViews>
    <sheetView rightToLeft="1" zoomScaleNormal="100" workbookViewId="0">
      <pane ySplit="1" topLeftCell="A2" activePane="bottomLeft" state="frozen"/>
      <selection activeCell="F1" sqref="F1"/>
      <selection pane="bottomLeft" activeCell="A1" sqref="A1"/>
    </sheetView>
  </sheetViews>
  <sheetFormatPr baseColWidth="8" defaultColWidth="25.7109375" defaultRowHeight="18.75"/>
  <cols>
    <col width="36.140625" bestFit="1" customWidth="1" style="14" min="1" max="1"/>
    <col width="21.140625" bestFit="1" customWidth="1" style="14" min="2" max="2"/>
    <col width="17.42578125" bestFit="1" customWidth="1" style="14" min="3" max="3"/>
    <col width="9.5703125" bestFit="1" customWidth="1" style="14" min="4" max="4"/>
    <col width="9.85546875" bestFit="1" customWidth="1" style="14" min="5" max="5"/>
    <col width="11.42578125" bestFit="1" customWidth="1" style="14" min="6" max="6"/>
    <col width="20.140625" bestFit="1" customWidth="1" style="14" min="7" max="7"/>
    <col width="12.28515625" bestFit="1" customWidth="1" style="14" min="8" max="8"/>
    <col width="12.85546875" bestFit="1" customWidth="1" style="14" min="9" max="9"/>
    <col width="22.85546875" bestFit="1" customWidth="1" style="14" min="10" max="10"/>
    <col width="30.28515625" bestFit="1" customWidth="1" style="14" min="11" max="11"/>
    <col width="39.28515625" bestFit="1" customWidth="1" style="14" min="12" max="12"/>
    <col width="19.85546875" bestFit="1" customWidth="1" style="14" min="13" max="13"/>
    <col width="33.140625" bestFit="1" customWidth="1" style="14" min="14" max="14"/>
    <col width="18" bestFit="1" customWidth="1" style="14" min="15" max="15"/>
    <col width="22.28515625" bestFit="1" customWidth="1" style="14" min="16" max="16"/>
    <col width="13.140625" bestFit="1" customWidth="1" style="14" min="17" max="17"/>
    <col width="13.42578125" bestFit="1" customWidth="1" style="14" min="18" max="18"/>
    <col width="11.42578125" bestFit="1" customWidth="1" style="14" min="19" max="19"/>
    <col width="21.28515625" bestFit="1" customWidth="1" style="14" min="20" max="20"/>
    <col width="9.5703125" bestFit="1" customWidth="1" style="14" min="21" max="21"/>
    <col width="25.7109375" customWidth="1" style="14" min="22" max="16384"/>
  </cols>
  <sheetData>
    <row r="1">
      <c r="A1" s="101" t="inlineStr">
        <is>
          <t>Source.Name</t>
        </is>
      </c>
      <c r="B1" s="14" t="inlineStr">
        <is>
          <t>ضمن خطة دبي أو أجنداتها</t>
        </is>
      </c>
      <c r="C1" s="14" t="inlineStr">
        <is>
          <t>منسق الأمانة العامة</t>
        </is>
      </c>
      <c r="D1" s="14" t="inlineStr">
        <is>
          <t>الموضوع</t>
        </is>
      </c>
      <c r="E1" s="14" t="inlineStr">
        <is>
          <t>رقم القرار</t>
        </is>
      </c>
      <c r="F1" s="14" t="inlineStr">
        <is>
          <t>القرار الأخير</t>
        </is>
      </c>
      <c r="G1" s="14" t="inlineStr">
        <is>
          <t>صادر عن</t>
        </is>
      </c>
      <c r="H1" s="14" t="inlineStr">
        <is>
          <t>سنة الاجتماع</t>
        </is>
      </c>
      <c r="I1" s="14" t="inlineStr">
        <is>
          <t>تاريخ الاجتماع</t>
        </is>
      </c>
      <c r="J1" s="14" t="inlineStr">
        <is>
          <t>مرجع الخطاب الصادر بالقرار</t>
        </is>
      </c>
      <c r="K1" s="14" t="inlineStr">
        <is>
          <t>الجهة المعنية</t>
        </is>
      </c>
      <c r="L1" s="101" t="inlineStr">
        <is>
          <t>الجهات المساهمة</t>
        </is>
      </c>
      <c r="M1" s="14" t="inlineStr">
        <is>
          <t>القطاع</t>
        </is>
      </c>
      <c r="N1" s="14" t="inlineStr">
        <is>
          <t>الإدارة</t>
        </is>
      </c>
      <c r="O1" s="14" t="inlineStr">
        <is>
          <t>متطلبات المتابعة</t>
        </is>
      </c>
      <c r="P1" s="14" t="inlineStr">
        <is>
          <t>تاريخ إصدار خطاب المتابعة</t>
        </is>
      </c>
      <c r="Q1" s="14" t="inlineStr">
        <is>
          <t>تاريخ الرد</t>
        </is>
      </c>
      <c r="R1" s="14" t="inlineStr">
        <is>
          <t>مستوى الإنجاز</t>
        </is>
      </c>
      <c r="S1" s="14" t="inlineStr">
        <is>
          <t>نسبه الإنجاز</t>
        </is>
      </c>
      <c r="T1" s="14" t="inlineStr">
        <is>
          <t>يتوفر تقرير بالمستجدات؟</t>
        </is>
      </c>
      <c r="U1" s="14" t="inlineStr">
        <is>
          <t>ملاحظات</t>
        </is>
      </c>
    </row>
    <row r="2">
      <c r="A2" s="101" t="inlineStr">
        <is>
          <t>Economic_Performace_Tracker.xlsx</t>
        </is>
      </c>
      <c r="B2" s="14" t="inlineStr">
        <is>
          <t>لا ينطبق</t>
        </is>
      </c>
      <c r="C2" t="inlineStr">
        <is>
          <t>مدير توضيحي 2</t>
        </is>
      </c>
      <c r="D2" t="inlineStr">
        <is>
          <t>قرار توضيحي 001</t>
        </is>
      </c>
      <c r="E2" s="14" t="n">
        <v>27</v>
      </c>
      <c r="G2" s="14" t="inlineStr">
        <is>
          <t>المجلس التنفيذي</t>
        </is>
      </c>
      <c r="H2" s="14" t="n">
        <v>2024</v>
      </c>
      <c r="I2" s="102" t="n">
        <v>46355</v>
      </c>
      <c r="J2" s="14" t="inlineStr">
        <is>
          <t>TEC/OUT/2024/911</t>
        </is>
      </c>
      <c r="K2" s="14" t="inlineStr">
        <is>
          <t>الأمانة العامة للمجلس التنفيذي</t>
        </is>
      </c>
      <c r="L2" s="101" t="n"/>
      <c r="M2" s="14" t="inlineStr">
        <is>
          <t>الاقتصاد والتنمية الاجتماعية</t>
        </is>
      </c>
      <c r="N2" s="14" t="inlineStr">
        <is>
          <t>السياسات والاستراتيجيات الاقتصادية</t>
        </is>
      </c>
      <c r="O2" s="14" t="inlineStr">
        <is>
          <t>مغلق (لا يتطلب متابعة)</t>
        </is>
      </c>
      <c r="R2" s="14" t="inlineStr">
        <is>
          <t>منجز</t>
        </is>
      </c>
      <c r="S2" s="14" t="n">
        <v>1</v>
      </c>
    </row>
    <row r="3">
      <c r="A3" s="101" t="inlineStr">
        <is>
          <t>Economic_Performace_Tracker.xlsx</t>
        </is>
      </c>
      <c r="B3" s="14" t="inlineStr">
        <is>
          <t>لا ينطبق</t>
        </is>
      </c>
      <c r="C3" t="inlineStr">
        <is>
          <t>مدير توضيحي 3</t>
        </is>
      </c>
      <c r="D3" t="inlineStr">
        <is>
          <t>قرار توضيحي 002</t>
        </is>
      </c>
      <c r="E3" s="14" t="n">
        <v>31</v>
      </c>
      <c r="G3" s="14" t="inlineStr">
        <is>
          <t>المجلس التنفيذي</t>
        </is>
      </c>
      <c r="H3" s="14" t="n">
        <v>2025</v>
      </c>
      <c r="I3" s="102" t="n">
        <v>46364</v>
      </c>
      <c r="J3" s="14" t="inlineStr">
        <is>
          <t>TEC/OUT/2025/1265</t>
        </is>
      </c>
      <c r="K3" s="14" t="inlineStr">
        <is>
          <t>الأمانة العامة للمجلس التنفيذي</t>
        </is>
      </c>
      <c r="L3" s="101" t="n"/>
      <c r="M3" s="14" t="inlineStr">
        <is>
          <t>الاقتصاد والتنمية الاجتماعية</t>
        </is>
      </c>
      <c r="N3" s="14" t="inlineStr">
        <is>
          <t>السياسات والاستراتيجيات الاقتصادية</t>
        </is>
      </c>
      <c r="O3" s="14" t="inlineStr">
        <is>
          <t>مغلق (لا يتطلب متابعة)</t>
        </is>
      </c>
      <c r="R3" s="14" t="inlineStr">
        <is>
          <t>منجز</t>
        </is>
      </c>
      <c r="S3" s="14" t="n">
        <v>1</v>
      </c>
    </row>
    <row r="4">
      <c r="A4" s="101" t="inlineStr">
        <is>
          <t>Economic_Performace_Tracker.xlsx</t>
        </is>
      </c>
      <c r="B4" s="14" t="inlineStr">
        <is>
          <t>لا ينطبق</t>
        </is>
      </c>
      <c r="C4" t="inlineStr">
        <is>
          <t>مدير توضيحي 1</t>
        </is>
      </c>
      <c r="D4" t="inlineStr">
        <is>
          <t>قرار توضيحي 003</t>
        </is>
      </c>
      <c r="E4" s="14" t="n">
        <v>14</v>
      </c>
      <c r="G4" s="14" t="inlineStr">
        <is>
          <t>المجلس التنفيذي</t>
        </is>
      </c>
      <c r="H4" s="14" t="n">
        <v>2024</v>
      </c>
      <c r="I4" s="102" t="n">
        <v>46205</v>
      </c>
      <c r="J4" s="14" t="inlineStr">
        <is>
          <t>TEC/OUT/2024/491</t>
        </is>
      </c>
      <c r="K4" s="14" t="inlineStr">
        <is>
          <t>دائرة الاقتصاد والسياحة بدبي</t>
        </is>
      </c>
      <c r="L4" s="101" t="n"/>
      <c r="M4" s="14" t="inlineStr">
        <is>
          <t>الاقتصاد والتنمية الاجتماعية</t>
        </is>
      </c>
      <c r="N4" s="14" t="inlineStr">
        <is>
          <t>السياسات والاستراتيجيات الاقتصادية</t>
        </is>
      </c>
      <c r="O4" s="14" t="inlineStr">
        <is>
          <t>مغلق (لا يتطلب متابعة)</t>
        </is>
      </c>
      <c r="R4" s="14" t="inlineStr">
        <is>
          <t>منجز</t>
        </is>
      </c>
      <c r="S4" s="14" t="n">
        <v>1</v>
      </c>
    </row>
    <row r="5">
      <c r="A5" s="101" t="inlineStr">
        <is>
          <t>Economic_Performace_Tracker.xlsx</t>
        </is>
      </c>
      <c r="B5" s="14" t="inlineStr">
        <is>
          <t>لا ينطبق</t>
        </is>
      </c>
      <c r="C5" t="inlineStr">
        <is>
          <t>مدير توضيحي 2</t>
        </is>
      </c>
      <c r="D5" t="inlineStr">
        <is>
          <t>قرار توضيحي 004</t>
        </is>
      </c>
      <c r="E5" s="14" t="inlineStr">
        <is>
          <t xml:space="preserve"> </t>
        </is>
      </c>
      <c r="I5" s="102" t="n"/>
      <c r="K5" s="14" t="inlineStr">
        <is>
          <t>دائرة الاقتصاد والسياحة بدبي</t>
        </is>
      </c>
      <c r="L5" s="101" t="n"/>
      <c r="M5" s="14" t="inlineStr">
        <is>
          <t>الاقتصاد والتنمية الاجتماعية</t>
        </is>
      </c>
      <c r="N5" s="14" t="inlineStr">
        <is>
          <t>السياسات والاستراتيجيات الاقتصادية</t>
        </is>
      </c>
      <c r="O5" s="14" t="inlineStr">
        <is>
          <t>ملغي</t>
        </is>
      </c>
      <c r="R5" s="14" t="inlineStr">
        <is>
          <t>منجز</t>
        </is>
      </c>
      <c r="S5" s="14" t="n">
        <v>1</v>
      </c>
    </row>
    <row r="6">
      <c r="A6" s="101" t="inlineStr">
        <is>
          <t>Economic_Performace_Tracker.xlsx</t>
        </is>
      </c>
      <c r="B6" s="14" t="inlineStr">
        <is>
          <t>لا ينطبق</t>
        </is>
      </c>
      <c r="C6" t="inlineStr">
        <is>
          <t>مدير توضيحي 3</t>
        </is>
      </c>
      <c r="D6" t="inlineStr">
        <is>
          <t>قرار توضيحي 005</t>
        </is>
      </c>
      <c r="E6" s="14" t="inlineStr">
        <is>
          <t xml:space="preserve"> </t>
        </is>
      </c>
      <c r="I6" s="102" t="n"/>
      <c r="K6" s="14" t="inlineStr">
        <is>
          <t>دائرة الاقتصاد والسياحة بدبي</t>
        </is>
      </c>
      <c r="L6" s="101" t="n"/>
      <c r="M6" s="14" t="inlineStr">
        <is>
          <t>الاقتصاد والتنمية الاجتماعية</t>
        </is>
      </c>
      <c r="N6" s="14" t="inlineStr">
        <is>
          <t>السياسات والاستراتيجيات الاقتصادية</t>
        </is>
      </c>
      <c r="O6" s="14" t="inlineStr">
        <is>
          <t>مغلق (لا يتطلب متابعة)</t>
        </is>
      </c>
      <c r="R6" s="14" t="inlineStr">
        <is>
          <t>منجز</t>
        </is>
      </c>
      <c r="S6" s="14" t="n">
        <v>1</v>
      </c>
    </row>
    <row r="7">
      <c r="A7" s="101" t="inlineStr">
        <is>
          <t>Economic_Performace_Tracker.xlsx</t>
        </is>
      </c>
      <c r="B7" s="14" t="inlineStr">
        <is>
          <t>لا ينطبق</t>
        </is>
      </c>
      <c r="C7" t="inlineStr">
        <is>
          <t>مدير توضيحي 1</t>
        </is>
      </c>
      <c r="D7" t="inlineStr">
        <is>
          <t>قرار توضيحي 006</t>
        </is>
      </c>
      <c r="E7" s="14" t="inlineStr">
        <is>
          <t xml:space="preserve"> </t>
        </is>
      </c>
      <c r="G7" s="14" t="inlineStr">
        <is>
          <t>مجلس الشؤون الاستراتيجية</t>
        </is>
      </c>
      <c r="I7" s="102" t="n"/>
      <c r="K7" s="14" t="inlineStr">
        <is>
          <t>دائرة الأراضي والأملاك</t>
        </is>
      </c>
      <c r="L7" s="101" t="n"/>
      <c r="M7" s="14" t="inlineStr">
        <is>
          <t>الاقتصاد والتنمية الاجتماعية</t>
        </is>
      </c>
      <c r="N7" s="14" t="inlineStr">
        <is>
          <t>السياسات والاستراتيجيات الاقتصادية</t>
        </is>
      </c>
      <c r="O7" s="14" t="inlineStr">
        <is>
          <t>ملغي</t>
        </is>
      </c>
      <c r="R7" s="14" t="inlineStr">
        <is>
          <t>منجز</t>
        </is>
      </c>
      <c r="S7" s="14" t="n">
        <v>1</v>
      </c>
    </row>
    <row r="8">
      <c r="A8" s="101" t="inlineStr">
        <is>
          <t>Economic_Performace_Tracker.xlsx</t>
        </is>
      </c>
      <c r="B8" s="14" t="inlineStr">
        <is>
          <t>لا ينطبق</t>
        </is>
      </c>
      <c r="C8" t="inlineStr">
        <is>
          <t>مدير توضيحي 2</t>
        </is>
      </c>
      <c r="D8" t="inlineStr">
        <is>
          <t>قرار توضيحي 007</t>
        </is>
      </c>
      <c r="E8" s="14" t="inlineStr">
        <is>
          <t xml:space="preserve"> </t>
        </is>
      </c>
      <c r="G8" s="14" t="inlineStr">
        <is>
          <t>مجلس الشؤون الاستراتيجية</t>
        </is>
      </c>
      <c r="I8" s="102" t="n"/>
      <c r="K8" s="14" t="inlineStr">
        <is>
          <t>دائرة الأراضي والأملاك</t>
        </is>
      </c>
      <c r="L8" s="101" t="n"/>
      <c r="M8" s="14" t="inlineStr">
        <is>
          <t>الاقتصاد والتنمية الاجتماعية</t>
        </is>
      </c>
      <c r="N8" s="14" t="inlineStr">
        <is>
          <t>السياسات والاستراتيجيات الاقتصادية</t>
        </is>
      </c>
      <c r="O8" s="14" t="inlineStr">
        <is>
          <t>ملغي</t>
        </is>
      </c>
      <c r="R8" s="14" t="inlineStr">
        <is>
          <t>منجز</t>
        </is>
      </c>
      <c r="S8" s="14" t="n">
        <v>1</v>
      </c>
    </row>
    <row r="9">
      <c r="A9" s="101" t="inlineStr">
        <is>
          <t>Economic_Performace_Tracker.xlsx</t>
        </is>
      </c>
      <c r="B9" s="14" t="inlineStr">
        <is>
          <t>لا ينطبق</t>
        </is>
      </c>
      <c r="C9" t="inlineStr">
        <is>
          <t>مدير توضيحي 3</t>
        </is>
      </c>
      <c r="D9" t="inlineStr">
        <is>
          <t>قرار توضيحي 008</t>
        </is>
      </c>
      <c r="E9" s="14" t="inlineStr">
        <is>
          <t xml:space="preserve"> </t>
        </is>
      </c>
      <c r="G9" s="14" t="inlineStr">
        <is>
          <t>مجلس الشؤون الاستراتيجية</t>
        </is>
      </c>
      <c r="I9" s="102" t="n"/>
      <c r="K9" s="14" t="inlineStr">
        <is>
          <t>دائرة المالية</t>
        </is>
      </c>
      <c r="L9" s="101" t="n"/>
      <c r="M9" s="14" t="inlineStr">
        <is>
          <t>الاقتصاد والتنمية الاجتماعية</t>
        </is>
      </c>
      <c r="N9" s="14" t="inlineStr">
        <is>
          <t>السياسات والاستراتيجيات الاقتصادية</t>
        </is>
      </c>
      <c r="O9" s="14" t="inlineStr">
        <is>
          <t>مغلق (لا يتطلب متابعة)</t>
        </is>
      </c>
      <c r="R9" s="14" t="inlineStr">
        <is>
          <t>منجز</t>
        </is>
      </c>
      <c r="S9" s="14" t="n">
        <v>1</v>
      </c>
    </row>
    <row r="10">
      <c r="A10" s="101" t="inlineStr">
        <is>
          <t>Economic_Performace_Tracker.xlsx</t>
        </is>
      </c>
      <c r="B10" s="14" t="inlineStr">
        <is>
          <t>لا ينطبق</t>
        </is>
      </c>
      <c r="C10" t="inlineStr">
        <is>
          <t>مدير توضيحي 1</t>
        </is>
      </c>
      <c r="D10" t="inlineStr">
        <is>
          <t>قرار توضيحي 009</t>
        </is>
      </c>
      <c r="E10" s="14" t="n">
        <v>4</v>
      </c>
      <c r="G10" s="14" t="inlineStr">
        <is>
          <t>المجلس التنفيذي</t>
        </is>
      </c>
      <c r="H10" s="14" t="n">
        <v>2024</v>
      </c>
      <c r="I10" s="102" t="n">
        <v>46100</v>
      </c>
      <c r="J10" s="14" t="inlineStr">
        <is>
          <t>TEC/OUT/2024/218</t>
        </is>
      </c>
      <c r="K10" s="14" t="inlineStr">
        <is>
          <t>دائرة المالية</t>
        </is>
      </c>
      <c r="L10" s="101" t="n"/>
      <c r="M10" s="14" t="inlineStr">
        <is>
          <t>الاقتصاد والتنمية الاجتماعية</t>
        </is>
      </c>
      <c r="N10" s="14" t="inlineStr">
        <is>
          <t>السياسات والاستراتيجيات الاقتصادية</t>
        </is>
      </c>
      <c r="O10" s="14" t="inlineStr">
        <is>
          <t>مغلق (لا يتطلب متابعة)</t>
        </is>
      </c>
      <c r="R10" s="14" t="inlineStr">
        <is>
          <t>منجز</t>
        </is>
      </c>
      <c r="S10" s="14" t="n">
        <v>1</v>
      </c>
    </row>
    <row r="11">
      <c r="A11" s="101" t="inlineStr">
        <is>
          <t>Economic_Performace_Tracker.xlsx</t>
        </is>
      </c>
      <c r="B11" s="14" t="inlineStr">
        <is>
          <t>لا ينطبق</t>
        </is>
      </c>
      <c r="C11" t="inlineStr">
        <is>
          <t>مدير توضيحي 2</t>
        </is>
      </c>
      <c r="D11" t="inlineStr">
        <is>
          <t>قرار توضيحي 010</t>
        </is>
      </c>
      <c r="E11" s="14" t="n">
        <v>30</v>
      </c>
      <c r="G11" s="14" t="inlineStr">
        <is>
          <t>المجلس التنفيذي</t>
        </is>
      </c>
      <c r="H11" s="14" t="n">
        <v>2025</v>
      </c>
      <c r="I11" s="102" t="n">
        <v>46364</v>
      </c>
      <c r="J11" s="14" t="inlineStr">
        <is>
          <t>TEC/OUT/2025/1264</t>
        </is>
      </c>
      <c r="K11" s="14" t="inlineStr">
        <is>
          <t>دائرة المالية</t>
        </is>
      </c>
      <c r="L11" s="101" t="n"/>
      <c r="M11" s="14" t="inlineStr">
        <is>
          <t>الاقتصاد والتنمية الاجتماعية</t>
        </is>
      </c>
      <c r="N11" s="14" t="inlineStr">
        <is>
          <t>السياسات والاستراتيجيات الاقتصادية</t>
        </is>
      </c>
      <c r="O11" s="14" t="inlineStr">
        <is>
          <t>مغلق (لا يتطلب متابعة)</t>
        </is>
      </c>
      <c r="R11" s="14" t="inlineStr">
        <is>
          <t>منجز</t>
        </is>
      </c>
      <c r="S11" s="14" t="n">
        <v>1</v>
      </c>
    </row>
    <row r="12">
      <c r="A12" s="101" t="inlineStr">
        <is>
          <t>Economic_Performace_Tracker.xlsx</t>
        </is>
      </c>
      <c r="B12" s="14" t="inlineStr">
        <is>
          <t>لا ينطبق</t>
        </is>
      </c>
      <c r="C12" t="inlineStr">
        <is>
          <t>مدير توضيحي 3</t>
        </is>
      </c>
      <c r="D12" t="inlineStr">
        <is>
          <t>قرار توضيحي 011</t>
        </is>
      </c>
      <c r="E12" s="14" t="inlineStr">
        <is>
          <t xml:space="preserve"> </t>
        </is>
      </c>
      <c r="G12" s="14" t="inlineStr">
        <is>
          <t>مجلس الشؤون الاستراتيجية</t>
        </is>
      </c>
      <c r="I12" s="102" t="n"/>
      <c r="K12" s="14" t="inlineStr">
        <is>
          <t>دائرة المالية</t>
        </is>
      </c>
      <c r="L12" s="101" t="n"/>
      <c r="M12" s="14" t="inlineStr">
        <is>
          <t>الاقتصاد والتنمية الاجتماعية</t>
        </is>
      </c>
      <c r="N12" s="14" t="inlineStr">
        <is>
          <t>السياسات والاستراتيجيات الاقتصادية</t>
        </is>
      </c>
      <c r="O12" s="14" t="inlineStr">
        <is>
          <t>مغلق (لا يتطلب متابعة)</t>
        </is>
      </c>
      <c r="R12" s="14" t="inlineStr">
        <is>
          <t>منجز</t>
        </is>
      </c>
      <c r="S12" s="14" t="n">
        <v>1</v>
      </c>
    </row>
    <row r="13">
      <c r="A13" s="101" t="inlineStr">
        <is>
          <t>Economic_Performace_Tracker.xlsx</t>
        </is>
      </c>
      <c r="B13" s="14" t="inlineStr">
        <is>
          <t>لا ينطبق</t>
        </is>
      </c>
      <c r="C13" t="inlineStr">
        <is>
          <t>مدير توضيحي 1</t>
        </is>
      </c>
      <c r="D13" t="inlineStr">
        <is>
          <t>قرار توضيحي 012</t>
        </is>
      </c>
      <c r="E13" s="14" t="n">
        <v>17</v>
      </c>
      <c r="G13" s="14" t="inlineStr">
        <is>
          <t>المجلس التنفيذي</t>
        </is>
      </c>
      <c r="H13" s="14" t="n">
        <v>2024</v>
      </c>
      <c r="I13" s="102" t="n">
        <v>46296</v>
      </c>
      <c r="J13" s="14" t="inlineStr">
        <is>
          <t>TEC/OUT/2024/729</t>
        </is>
      </c>
      <c r="K13" s="14" t="inlineStr">
        <is>
          <t>دائرة المالية</t>
        </is>
      </c>
      <c r="L13" s="101" t="n"/>
      <c r="M13" s="14" t="inlineStr">
        <is>
          <t>الاقتصاد والتنمية الاجتماعية</t>
        </is>
      </c>
      <c r="N13" s="14" t="inlineStr">
        <is>
          <t>السياسات والاستراتيجيات الاقتصادية</t>
        </is>
      </c>
      <c r="O13" s="14" t="inlineStr">
        <is>
          <t>مغلق (لا يتطلب متابعة)</t>
        </is>
      </c>
      <c r="R13" s="14" t="inlineStr">
        <is>
          <t>منجز</t>
        </is>
      </c>
      <c r="S13" s="14" t="n">
        <v>1</v>
      </c>
    </row>
    <row r="14">
      <c r="A14" s="101" t="inlineStr">
        <is>
          <t>Economic_Performace_Tracker.xlsx</t>
        </is>
      </c>
      <c r="B14" s="14" t="inlineStr">
        <is>
          <t>لا ينطبق</t>
        </is>
      </c>
      <c r="C14" t="inlineStr">
        <is>
          <t>مدير توضيحي 2</t>
        </is>
      </c>
      <c r="D14" t="inlineStr">
        <is>
          <t>قرار توضيحي 013</t>
        </is>
      </c>
      <c r="E14" s="14" t="n">
        <v>18</v>
      </c>
      <c r="G14" s="14" t="inlineStr">
        <is>
          <t>المجلس التنفيذي</t>
        </is>
      </c>
      <c r="H14" s="14" t="n">
        <v>2025</v>
      </c>
      <c r="I14" s="102" t="n">
        <v>46199</v>
      </c>
      <c r="J14" s="14" t="inlineStr">
        <is>
          <t>TEC/OUT/2025/661</t>
        </is>
      </c>
      <c r="K14" s="14" t="inlineStr">
        <is>
          <t>دائرة المالية</t>
        </is>
      </c>
      <c r="L14" s="101" t="n"/>
      <c r="M14" s="14" t="inlineStr">
        <is>
          <t>الاقتصاد والتنمية الاجتماعية</t>
        </is>
      </c>
      <c r="N14" s="14" t="inlineStr">
        <is>
          <t>السياسات والاستراتيجيات الاقتصادية</t>
        </is>
      </c>
      <c r="O14" s="14" t="inlineStr">
        <is>
          <t>مغلق (لا يتطلب متابعة)</t>
        </is>
      </c>
      <c r="P14" s="14" t="inlineStr">
        <is>
          <t>28 أبريل 2026</t>
        </is>
      </c>
      <c r="R14" s="14" t="inlineStr">
        <is>
          <t>منجز</t>
        </is>
      </c>
      <c r="S14" s="14" t="n">
        <v>1</v>
      </c>
    </row>
    <row r="15">
      <c r="A15" s="101" t="inlineStr">
        <is>
          <t>Economic_Performace_Tracker.xlsx</t>
        </is>
      </c>
      <c r="B15" s="14" t="inlineStr">
        <is>
          <t>لا ينطبق</t>
        </is>
      </c>
      <c r="C15" t="inlineStr">
        <is>
          <t>مدير توضيحي 3</t>
        </is>
      </c>
      <c r="D15" t="inlineStr">
        <is>
          <t>قرار توضيحي 014</t>
        </is>
      </c>
      <c r="E15" s="14" t="n">
        <v>2</v>
      </c>
      <c r="G15" s="14" t="inlineStr">
        <is>
          <t>المجلس التنفيذي</t>
        </is>
      </c>
      <c r="H15" s="14" t="n">
        <v>2024</v>
      </c>
      <c r="I15" s="102" t="n">
        <v>46100</v>
      </c>
      <c r="J15" s="14" t="inlineStr">
        <is>
          <t>TEC/OUT/2024/216</t>
        </is>
      </c>
      <c r="K15" s="14" t="inlineStr">
        <is>
          <t>مؤسسة دبي للمستقبل</t>
        </is>
      </c>
      <c r="L15" s="101" t="n"/>
      <c r="M15" s="14" t="inlineStr">
        <is>
          <t>الاقتصاد والتنمية الاجتماعية</t>
        </is>
      </c>
      <c r="N15" s="14" t="inlineStr">
        <is>
          <t>السياسات والاستراتيجيات الاقتصادية</t>
        </is>
      </c>
      <c r="O15" s="14" t="inlineStr">
        <is>
          <t>مغلق (لا يتطلب متابعة)</t>
        </is>
      </c>
      <c r="P15" s="14" t="inlineStr">
        <is>
          <t>28 أبريل 2026</t>
        </is>
      </c>
      <c r="R15" s="14" t="inlineStr">
        <is>
          <t>منجز</t>
        </is>
      </c>
      <c r="S15" s="14" t="n">
        <v>1</v>
      </c>
    </row>
    <row r="16">
      <c r="A16" s="101" t="inlineStr">
        <is>
          <t>Economic_Performace_Tracker.xlsx</t>
        </is>
      </c>
      <c r="B16" s="14" t="inlineStr">
        <is>
          <t>لا ينطبق</t>
        </is>
      </c>
      <c r="C16" t="inlineStr">
        <is>
          <t>مدير توضيحي 1</t>
        </is>
      </c>
      <c r="D16" t="inlineStr">
        <is>
          <t>قرار توضيحي 015</t>
        </is>
      </c>
      <c r="E16" s="14" t="inlineStr">
        <is>
          <t xml:space="preserve"> </t>
        </is>
      </c>
      <c r="G16" s="14" t="inlineStr">
        <is>
          <t>مجلس الشؤون الاستراتيجية</t>
        </is>
      </c>
      <c r="I16" s="102" t="n"/>
      <c r="K16" s="14" t="inlineStr">
        <is>
          <t>هيئة دبي الرقمية</t>
        </is>
      </c>
      <c r="L16" s="101" t="n"/>
      <c r="M16" s="14" t="inlineStr">
        <is>
          <t>الاقتصاد والتنمية الاجتماعية</t>
        </is>
      </c>
      <c r="N16" s="14" t="inlineStr">
        <is>
          <t>السياسات والاستراتيجيات الاقتصادية</t>
        </is>
      </c>
      <c r="O16" s="14" t="inlineStr">
        <is>
          <t>مغلق (لا يتطلب متابعة)</t>
        </is>
      </c>
      <c r="R16" s="14" t="inlineStr">
        <is>
          <t>منجز</t>
        </is>
      </c>
      <c r="S16" s="14" t="n">
        <v>1</v>
      </c>
    </row>
    <row r="17">
      <c r="A17" s="101" t="inlineStr">
        <is>
          <t>Economic_Performace_Tracker.xlsx</t>
        </is>
      </c>
      <c r="B17" s="14" t="inlineStr">
        <is>
          <t>لا ينطبق</t>
        </is>
      </c>
      <c r="C17" t="inlineStr">
        <is>
          <t>مدير توضيحي 2</t>
        </is>
      </c>
      <c r="D17" t="inlineStr">
        <is>
          <t>قرار توضيحي 016</t>
        </is>
      </c>
      <c r="E17" s="14" t="inlineStr">
        <is>
          <t xml:space="preserve"> </t>
        </is>
      </c>
      <c r="G17" s="14" t="inlineStr">
        <is>
          <t>مجلس الشؤون الاستراتيجية</t>
        </is>
      </c>
      <c r="I17" s="102" t="n"/>
      <c r="K17" s="14" t="inlineStr">
        <is>
          <t>هيئة دبي الرقمية</t>
        </is>
      </c>
      <c r="L17" s="101" t="n"/>
      <c r="M17" s="14" t="inlineStr">
        <is>
          <t>الاقتصاد والتنمية الاجتماعية</t>
        </is>
      </c>
      <c r="N17" s="14" t="inlineStr">
        <is>
          <t>السياسات والاستراتيجيات الاقتصادية</t>
        </is>
      </c>
      <c r="O17" s="14" t="inlineStr">
        <is>
          <t>مغلق (لا يتطلب متابعة)</t>
        </is>
      </c>
      <c r="R17" s="14" t="inlineStr">
        <is>
          <t>منجز</t>
        </is>
      </c>
      <c r="S17" s="14" t="n">
        <v>1</v>
      </c>
    </row>
    <row r="18">
      <c r="A18" s="101" t="inlineStr">
        <is>
          <t>Economic_Performace_Tracker.xlsx</t>
        </is>
      </c>
      <c r="B18" s="14" t="inlineStr">
        <is>
          <t>ضمن الخطة</t>
        </is>
      </c>
      <c r="C18" t="inlineStr">
        <is>
          <t>مدير توضيحي 3</t>
        </is>
      </c>
      <c r="D18" t="inlineStr">
        <is>
          <t>قرار توضيحي 017</t>
        </is>
      </c>
      <c r="E18" s="14" t="n">
        <v>13</v>
      </c>
      <c r="G18" s="14" t="inlineStr">
        <is>
          <t>المجلس التنفيذي</t>
        </is>
      </c>
      <c r="H18" s="14" t="n">
        <v>2024</v>
      </c>
      <c r="I18" s="102" t="n">
        <v>46204</v>
      </c>
      <c r="J18" s="14" t="inlineStr">
        <is>
          <t>TEC/OUT/2024/490</t>
        </is>
      </c>
      <c r="K18" s="14" t="inlineStr">
        <is>
          <t>دائرة الاقتصاد والسياحة بدبي</t>
        </is>
      </c>
      <c r="L18" s="101" t="n"/>
      <c r="M18" s="14" t="inlineStr">
        <is>
          <t>الاقتصاد والتنمية الاجتماعية</t>
        </is>
      </c>
      <c r="N18" s="14" t="inlineStr">
        <is>
          <t>السياسات والاستراتيجيات الاقتصادية</t>
        </is>
      </c>
      <c r="O18" s="14" t="inlineStr">
        <is>
          <t>رسالة رسمية</t>
        </is>
      </c>
      <c r="P18" s="14" t="inlineStr">
        <is>
          <t>8 أبريل 2026</t>
        </is>
      </c>
      <c r="R18" s="14" t="inlineStr">
        <is>
          <t>منجز</t>
        </is>
      </c>
    </row>
    <row r="19">
      <c r="A19" s="101" t="inlineStr">
        <is>
          <t>Economic_Performace_Tracker.xlsx</t>
        </is>
      </c>
      <c r="B19" s="14" t="inlineStr">
        <is>
          <t>ضمن الخطة</t>
        </is>
      </c>
      <c r="C19" t="inlineStr">
        <is>
          <t>مدير توضيحي 1</t>
        </is>
      </c>
      <c r="D19" t="inlineStr">
        <is>
          <t>قرار توضيحي 018</t>
        </is>
      </c>
      <c r="E19" s="14" t="n">
        <v>3</v>
      </c>
      <c r="G19" s="14" t="inlineStr">
        <is>
          <t>مجلس الشؤون الاستراتيجية</t>
        </is>
      </c>
      <c r="H19" s="14" t="n">
        <v>2023</v>
      </c>
      <c r="I19" s="102" t="n">
        <v>46082</v>
      </c>
      <c r="J19" s="14" t="inlineStr">
        <is>
          <t>TEC/OUT/2023/135</t>
        </is>
      </c>
      <c r="K19" s="14" t="inlineStr">
        <is>
          <t>دائرة الاقتصاد والسياحة بدبي</t>
        </is>
      </c>
      <c r="L19" s="101" t="n"/>
      <c r="M19" s="14" t="inlineStr">
        <is>
          <t>الاقتصاد والتنمية الاجتماعية</t>
        </is>
      </c>
      <c r="N19" s="14" t="inlineStr">
        <is>
          <t>السياسات والاستراتيجيات الاقتصادية</t>
        </is>
      </c>
      <c r="O19" s="14" t="inlineStr">
        <is>
          <t>رسالة رسمية</t>
        </is>
      </c>
      <c r="P19" s="14" t="inlineStr">
        <is>
          <t>8 أبريل 2026</t>
        </is>
      </c>
      <c r="R19" s="14" t="inlineStr">
        <is>
          <t>منجز</t>
        </is>
      </c>
    </row>
    <row r="20">
      <c r="A20" s="101" t="inlineStr">
        <is>
          <t>Economic_Performace_Tracker.xlsx</t>
        </is>
      </c>
      <c r="B20" s="14" t="inlineStr">
        <is>
          <t>ضمن الخطة</t>
        </is>
      </c>
      <c r="C20" t="inlineStr">
        <is>
          <t>مدير توضيحي 2</t>
        </is>
      </c>
      <c r="D20" t="inlineStr">
        <is>
          <t>قرار توضيحي 019</t>
        </is>
      </c>
      <c r="E20" s="14" t="n">
        <v>15</v>
      </c>
      <c r="G20" s="14" t="inlineStr">
        <is>
          <t>المجلس التنفيذي</t>
        </is>
      </c>
      <c r="H20" s="14" t="n">
        <v>2024</v>
      </c>
      <c r="I20" s="102" t="n">
        <v>46297</v>
      </c>
      <c r="J20" s="14" t="inlineStr">
        <is>
          <t>TEC/OUT/2024/727</t>
        </is>
      </c>
      <c r="K20" s="14" t="inlineStr">
        <is>
          <t>دائرة الأراضي والأملاك</t>
        </is>
      </c>
      <c r="L20" s="101" t="n"/>
      <c r="M20" s="14" t="inlineStr">
        <is>
          <t>الاقتصاد والتنمية الاجتماعية</t>
        </is>
      </c>
      <c r="N20" s="14" t="inlineStr">
        <is>
          <t>السياسات والاستراتيجيات الاقتصادية</t>
        </is>
      </c>
      <c r="O20" s="14" t="inlineStr">
        <is>
          <t>رسالة رسمية</t>
        </is>
      </c>
      <c r="P20" s="14" t="inlineStr">
        <is>
          <t>28 أبريل 2026</t>
        </is>
      </c>
      <c r="R20" s="14" t="inlineStr">
        <is>
          <t>منجز</t>
        </is>
      </c>
    </row>
    <row r="21">
      <c r="A21" s="101" t="inlineStr">
        <is>
          <t>Economic_Performace_Tracker.xlsx</t>
        </is>
      </c>
      <c r="B21" s="14" t="inlineStr">
        <is>
          <t>لا ينطبق</t>
        </is>
      </c>
      <c r="C21" t="inlineStr">
        <is>
          <t>مدير توضيحي 3</t>
        </is>
      </c>
      <c r="D21" t="inlineStr">
        <is>
          <t>قرار توضيحي 020</t>
        </is>
      </c>
      <c r="E21" s="14" t="inlineStr">
        <is>
          <t xml:space="preserve"> </t>
        </is>
      </c>
      <c r="G21" s="14" t="inlineStr">
        <is>
          <t>مجلس الشؤون الاستراتيجية</t>
        </is>
      </c>
      <c r="I21" s="102" t="n"/>
      <c r="K21" s="14" t="inlineStr">
        <is>
          <t>دائرة الأراضي والأملاك</t>
        </is>
      </c>
      <c r="L21" s="101" t="n"/>
      <c r="M21" s="14" t="inlineStr">
        <is>
          <t>الاقتصاد والتنمية الاجتماعية</t>
        </is>
      </c>
      <c r="N21" s="14" t="inlineStr">
        <is>
          <t>السياسات والاستراتيجيات الاقتصادية</t>
        </is>
      </c>
      <c r="O21" s="14" t="inlineStr">
        <is>
          <t>بريد من الوحدة التنظيمية</t>
        </is>
      </c>
      <c r="R21" s="14" t="inlineStr">
        <is>
          <t>قيد التطوير</t>
        </is>
      </c>
    </row>
    <row r="22">
      <c r="A22" s="101" t="inlineStr">
        <is>
          <t>Economic_Performace_Tracker.xlsx</t>
        </is>
      </c>
      <c r="B22" s="14" t="inlineStr">
        <is>
          <t>لا ينطبق</t>
        </is>
      </c>
      <c r="C22" t="inlineStr">
        <is>
          <t>مدير توضيحي 1</t>
        </is>
      </c>
      <c r="D22" t="inlineStr">
        <is>
          <t>قرار توضيحي 021</t>
        </is>
      </c>
      <c r="E22" s="14" t="n">
        <v>25</v>
      </c>
      <c r="G22" s="14" t="inlineStr">
        <is>
          <t>المجلس التنفيذي</t>
        </is>
      </c>
      <c r="H22" s="14" t="n">
        <v>2024</v>
      </c>
      <c r="I22" s="102" t="n">
        <v>46355</v>
      </c>
      <c r="J22" s="14" t="inlineStr">
        <is>
          <t>TEC/OUT/2024/909</t>
        </is>
      </c>
      <c r="K22" s="14" t="inlineStr">
        <is>
          <t>دائرة المالية</t>
        </is>
      </c>
      <c r="L22" s="101" t="n"/>
      <c r="M22" s="14" t="inlineStr">
        <is>
          <t>الاقتصاد والتنمية الاجتماعية</t>
        </is>
      </c>
      <c r="N22" s="14" t="inlineStr">
        <is>
          <t>السياسات والاستراتيجيات الاقتصادية</t>
        </is>
      </c>
      <c r="O22" s="14" t="inlineStr">
        <is>
          <t>مغلق (لا يتطلب متابعة)</t>
        </is>
      </c>
      <c r="P22" s="14" t="inlineStr">
        <is>
          <t>28 أبريل 2026</t>
        </is>
      </c>
      <c r="R22" s="14" t="inlineStr">
        <is>
          <t>منجز</t>
        </is>
      </c>
      <c r="S22" s="14" t="n">
        <v>1</v>
      </c>
    </row>
    <row r="23">
      <c r="A23" s="101" t="inlineStr">
        <is>
          <t>Economic_Performace_Tracker.xlsx</t>
        </is>
      </c>
      <c r="B23" s="14" t="inlineStr">
        <is>
          <t>لا ينطبق</t>
        </is>
      </c>
      <c r="C23" t="inlineStr">
        <is>
          <t>مدير توضيحي 2</t>
        </is>
      </c>
      <c r="D23" t="inlineStr">
        <is>
          <t>قرار توضيحي 022</t>
        </is>
      </c>
      <c r="E23" s="14" t="n">
        <v>3</v>
      </c>
      <c r="G23" s="14" t="inlineStr">
        <is>
          <t>المجلس التنفيذي</t>
        </is>
      </c>
      <c r="H23" s="14" t="n">
        <v>2024</v>
      </c>
      <c r="I23" s="102" t="n">
        <v>46100</v>
      </c>
      <c r="J23" s="14" t="inlineStr">
        <is>
          <t>TEC/OUT/2024/217</t>
        </is>
      </c>
      <c r="K23" s="14" t="inlineStr">
        <is>
          <t>دائرة المالية</t>
        </is>
      </c>
      <c r="L23" s="101" t="n"/>
      <c r="M23" s="14" t="inlineStr">
        <is>
          <t>الاقتصاد والتنمية الاجتماعية</t>
        </is>
      </c>
      <c r="N23" s="14" t="inlineStr">
        <is>
          <t>السياسات والاستراتيجيات الاقتصادية</t>
        </is>
      </c>
      <c r="O23" s="14" t="inlineStr">
        <is>
          <t>رسالة رسمية</t>
        </is>
      </c>
      <c r="P23" s="14" t="inlineStr">
        <is>
          <t>28 أبريل 2026</t>
        </is>
      </c>
      <c r="R23" s="14" t="inlineStr">
        <is>
          <t>منجز</t>
        </is>
      </c>
      <c r="S23" s="14" t="n">
        <v>0.95</v>
      </c>
    </row>
    <row r="24">
      <c r="A24" s="101" t="inlineStr">
        <is>
          <t>Economic_Performace_Tracker.xlsx</t>
        </is>
      </c>
      <c r="B24" s="14" t="inlineStr">
        <is>
          <t>لا ينطبق</t>
        </is>
      </c>
      <c r="C24" t="inlineStr">
        <is>
          <t>مدير توضيحي 3</t>
        </is>
      </c>
      <c r="D24" t="inlineStr">
        <is>
          <t>قرار توضيحي 023</t>
        </is>
      </c>
      <c r="E24" s="14" t="n">
        <v>19</v>
      </c>
      <c r="G24" s="14" t="inlineStr">
        <is>
          <t>المجلس التنفيذي</t>
        </is>
      </c>
      <c r="H24" s="14" t="n">
        <v>2025</v>
      </c>
      <c r="I24" s="102" t="n">
        <v>46199</v>
      </c>
      <c r="J24" s="14" t="inlineStr">
        <is>
          <t>TEC/OUT/2025/ 662</t>
        </is>
      </c>
      <c r="K24" s="14" t="inlineStr">
        <is>
          <t>دائرة المالية</t>
        </is>
      </c>
      <c r="L24" s="101" t="n"/>
      <c r="M24" s="14" t="inlineStr">
        <is>
          <t>الاقتصاد والتنمية الاجتماعية</t>
        </is>
      </c>
      <c r="N24" s="14" t="inlineStr">
        <is>
          <t>السياسات والاستراتيجيات الاقتصادية</t>
        </is>
      </c>
      <c r="O24" s="14" t="inlineStr">
        <is>
          <t>رسالة رسمية</t>
        </is>
      </c>
      <c r="P24" s="14" t="inlineStr">
        <is>
          <t>28 أبريل 2026</t>
        </is>
      </c>
      <c r="R24" s="14" t="inlineStr">
        <is>
          <t>منجز</t>
        </is>
      </c>
      <c r="S24" s="14" t="n">
        <v>1</v>
      </c>
    </row>
    <row r="25">
      <c r="A25" s="101" t="inlineStr">
        <is>
          <t>Economic_Performace_Tracker.xlsx</t>
        </is>
      </c>
      <c r="B25" s="14" t="inlineStr">
        <is>
          <t>ضمن الخطة</t>
        </is>
      </c>
      <c r="C25" t="inlineStr">
        <is>
          <t>مدير توضيحي 1</t>
        </is>
      </c>
      <c r="D25" t="inlineStr">
        <is>
          <t>قرار توضيحي 024</t>
        </is>
      </c>
      <c r="E25" s="14" t="n">
        <v>23</v>
      </c>
      <c r="G25" s="14" t="inlineStr">
        <is>
          <t>المجلس التنفيذي</t>
        </is>
      </c>
      <c r="H25" s="14" t="n">
        <v>2024</v>
      </c>
      <c r="I25" s="102" t="n">
        <v>46355</v>
      </c>
      <c r="J25" s="14" t="inlineStr">
        <is>
          <t>TEC/OUT/2024/907</t>
        </is>
      </c>
      <c r="K25" s="14" t="inlineStr">
        <is>
          <t>مؤسسة دبي للمستقبل</t>
        </is>
      </c>
      <c r="L25" s="101" t="n"/>
      <c r="M25" s="14" t="inlineStr">
        <is>
          <t>الاقتصاد والتنمية الاجتماعية</t>
        </is>
      </c>
      <c r="N25" s="14" t="inlineStr">
        <is>
          <t>السياسات والاستراتيجيات الاقتصادية</t>
        </is>
      </c>
      <c r="O25" s="14" t="inlineStr">
        <is>
          <t>رسالة رسمية</t>
        </is>
      </c>
      <c r="P25" s="14" t="inlineStr">
        <is>
          <t>28 أبريل 2026</t>
        </is>
      </c>
      <c r="Q25" s="14" t="inlineStr">
        <is>
          <t>02 يونيو 2026</t>
        </is>
      </c>
      <c r="R25" s="14" t="inlineStr">
        <is>
          <t>منجز</t>
        </is>
      </c>
    </row>
    <row r="26">
      <c r="A26" s="101" t="inlineStr">
        <is>
          <t>Economic_Performace_Tracker.xlsx</t>
        </is>
      </c>
      <c r="B26" s="14" t="inlineStr">
        <is>
          <t>ضمن الخطة</t>
        </is>
      </c>
      <c r="C26" t="inlineStr">
        <is>
          <t>مدير توضيحي 2</t>
        </is>
      </c>
      <c r="D26" t="inlineStr">
        <is>
          <t>قرار توضيحي 025</t>
        </is>
      </c>
      <c r="E26" s="14" t="n">
        <v>49</v>
      </c>
      <c r="G26" s="14" t="inlineStr">
        <is>
          <t>المجلس التنفيذي</t>
        </is>
      </c>
      <c r="H26" s="14" t="n">
        <v>2024</v>
      </c>
      <c r="I26" s="102" t="n">
        <v>46365</v>
      </c>
      <c r="J26" s="14" t="inlineStr">
        <is>
          <t>TEC/OUT/2024/952</t>
        </is>
      </c>
      <c r="K26" s="14" t="inlineStr">
        <is>
          <t>مجلس المناطق الحرة في إمارة دبي</t>
        </is>
      </c>
      <c r="L26" s="101" t="n"/>
      <c r="M26" s="14" t="inlineStr">
        <is>
          <t>الاقتصاد والتنمية الاجتماعية</t>
        </is>
      </c>
      <c r="N26" s="14" t="inlineStr">
        <is>
          <t>السياسات والاستراتيجيات الاقتصادية</t>
        </is>
      </c>
      <c r="O26" s="14" t="inlineStr">
        <is>
          <t>رسالة رسمية</t>
        </is>
      </c>
      <c r="P26" s="14" t="inlineStr">
        <is>
          <t>28 نوفمبر 2025</t>
        </is>
      </c>
      <c r="Q26" s="14" t="inlineStr">
        <is>
          <t>29 ديسمبر 2025</t>
        </is>
      </c>
      <c r="R26" s="14" t="inlineStr">
        <is>
          <t>منجز</t>
        </is>
      </c>
    </row>
    <row r="27">
      <c r="A27" s="101" t="inlineStr">
        <is>
          <t>Economic_Performace_Tracker.xlsx</t>
        </is>
      </c>
      <c r="B27" s="14" t="inlineStr">
        <is>
          <t>ضمن الخطة</t>
        </is>
      </c>
      <c r="C27" t="inlineStr">
        <is>
          <t>مدير توضيحي 3</t>
        </is>
      </c>
      <c r="D27" t="inlineStr">
        <is>
          <t>قرار توضيحي 026</t>
        </is>
      </c>
      <c r="E27" s="14" t="n">
        <v>21</v>
      </c>
      <c r="G27" s="14" t="inlineStr">
        <is>
          <t>المجلس التنفيذي</t>
        </is>
      </c>
      <c r="H27" s="14" t="n">
        <v>2024</v>
      </c>
      <c r="I27" s="102" t="n">
        <v>46296</v>
      </c>
      <c r="J27" s="14" t="inlineStr">
        <is>
          <t>TEC/OUT/2024/733</t>
        </is>
      </c>
      <c r="K27" s="14" t="inlineStr">
        <is>
          <t>هيئة دبي الرقمية</t>
        </is>
      </c>
      <c r="L27" s="101" t="n"/>
      <c r="M27" s="14" t="inlineStr">
        <is>
          <t>الاقتصاد والتنمية الاجتماعية</t>
        </is>
      </c>
      <c r="N27" s="14" t="inlineStr">
        <is>
          <t>السياسات والاستراتيجيات الاقتصادية</t>
        </is>
      </c>
      <c r="O27" s="14" t="inlineStr">
        <is>
          <t>مغلق (لا يتطلب متابعة)</t>
        </is>
      </c>
      <c r="R27" s="14" t="inlineStr">
        <is>
          <t>منجز</t>
        </is>
      </c>
      <c r="S27" s="14" t="n">
        <v>1</v>
      </c>
    </row>
    <row r="28">
      <c r="A28" s="101" t="inlineStr">
        <is>
          <t>Economic_Performace_Tracker.xlsx</t>
        </is>
      </c>
      <c r="C28" t="inlineStr">
        <is>
          <t>مدير توضيحي 1</t>
        </is>
      </c>
      <c r="D28" t="inlineStr">
        <is>
          <t>قرار توضيحي 027</t>
        </is>
      </c>
      <c r="E28" s="14" t="n">
        <v>30</v>
      </c>
      <c r="G28" s="14" t="inlineStr">
        <is>
          <t>مجلس الشؤون الاستراتيجية</t>
        </is>
      </c>
      <c r="H28" s="14" t="n">
        <v>2026</v>
      </c>
      <c r="I28" s="102" t="n"/>
      <c r="K28" s="14" t="inlineStr">
        <is>
          <t>دائرة الاقتصاد والسياحة بدبي</t>
        </is>
      </c>
      <c r="L28" s="101" t="n"/>
      <c r="M28" s="14" t="inlineStr">
        <is>
          <t>الاقتصاد والتنمية الاجتماعية</t>
        </is>
      </c>
      <c r="N28" s="14" t="inlineStr">
        <is>
          <t>السياسات والاستراتيجيات الاقتصادية</t>
        </is>
      </c>
    </row>
    <row r="29">
      <c r="A29" s="101" t="inlineStr">
        <is>
          <t>Economic_Performace_Tracker.xlsx</t>
        </is>
      </c>
      <c r="C29" t="inlineStr">
        <is>
          <t>مدير توضيحي 2</t>
        </is>
      </c>
      <c r="D29" t="inlineStr">
        <is>
          <t>قرار توضيحي 028</t>
        </is>
      </c>
      <c r="E29" s="14" t="n">
        <v>25</v>
      </c>
      <c r="G29" s="14" t="inlineStr">
        <is>
          <t>مجلس الشؤون الاستراتيجية</t>
        </is>
      </c>
      <c r="H29" s="14" t="n">
        <v>2026</v>
      </c>
      <c r="I29" s="102" t="n"/>
      <c r="K29" s="14" t="inlineStr">
        <is>
          <t>جمارك دبي</t>
        </is>
      </c>
      <c r="L29" s="101" t="n"/>
      <c r="M29" s="14" t="inlineStr">
        <is>
          <t>الاقتصاد والتنمية الاجتماعية</t>
        </is>
      </c>
      <c r="N29" s="14" t="inlineStr">
        <is>
          <t>السياسات والاستراتيجيات الاقتصادية</t>
        </is>
      </c>
    </row>
    <row r="30">
      <c r="A30" s="101" t="inlineStr">
        <is>
          <t>Economic_Performace_Tracker.xlsx</t>
        </is>
      </c>
      <c r="C30" t="inlineStr">
        <is>
          <t>مدير توضيحي 3</t>
        </is>
      </c>
      <c r="D30" t="inlineStr">
        <is>
          <t>قرار توضيحي 029</t>
        </is>
      </c>
      <c r="E30" s="14" t="n">
        <v>28</v>
      </c>
      <c r="G30" s="14" t="inlineStr">
        <is>
          <t>مجلس الشؤون الاستراتيجية</t>
        </is>
      </c>
      <c r="H30" s="14" t="n">
        <v>2026</v>
      </c>
      <c r="I30" s="102" t="n"/>
      <c r="K30" s="14" t="inlineStr">
        <is>
          <t>دائرة الاقتصاد والسياحة بدبي</t>
        </is>
      </c>
      <c r="L30" s="101" t="n"/>
      <c r="M30" s="14" t="inlineStr">
        <is>
          <t>الاقتصاد والتنمية الاجتماعية</t>
        </is>
      </c>
      <c r="N30" s="14" t="inlineStr">
        <is>
          <t>السياسات والاستراتيجيات الاقتصادية</t>
        </is>
      </c>
    </row>
    <row r="31">
      <c r="A31" s="101" t="inlineStr">
        <is>
          <t>Economic_Performace_Tracker.xlsx</t>
        </is>
      </c>
      <c r="C31" t="inlineStr">
        <is>
          <t>مدير توضيحي 1</t>
        </is>
      </c>
      <c r="D31" t="inlineStr">
        <is>
          <t>قرار توضيحي 030</t>
        </is>
      </c>
      <c r="E31" s="14" t="n">
        <v>26</v>
      </c>
      <c r="G31" s="14" t="inlineStr">
        <is>
          <t>مجلس الشؤون الاستراتيجية</t>
        </is>
      </c>
      <c r="H31" s="14" t="n">
        <v>2026</v>
      </c>
      <c r="I31" s="102" t="n"/>
      <c r="K31" s="14" t="inlineStr">
        <is>
          <t>مركز دبي المالي العالمي</t>
        </is>
      </c>
      <c r="L31" s="101" t="n"/>
      <c r="M31" s="14" t="inlineStr">
        <is>
          <t>الاقتصاد والتنمية الاجتماعية</t>
        </is>
      </c>
      <c r="N31" s="14" t="inlineStr">
        <is>
          <t>السياسات والاستراتيجيات الاقتصادية</t>
        </is>
      </c>
    </row>
    <row r="32">
      <c r="A32" s="101" t="inlineStr">
        <is>
          <t>Economic_Performace_Tracker.xlsx</t>
        </is>
      </c>
      <c r="C32" t="inlineStr">
        <is>
          <t>مدير توضيحي 2</t>
        </is>
      </c>
      <c r="D32" t="inlineStr">
        <is>
          <t>قرار توضيحي 031</t>
        </is>
      </c>
      <c r="E32" s="14" t="n">
        <v>12</v>
      </c>
      <c r="G32" s="14" t="inlineStr">
        <is>
          <t>مجلس الشؤون الاستراتيجية</t>
        </is>
      </c>
      <c r="H32" s="14" t="n">
        <v>2026</v>
      </c>
      <c r="I32" s="102" t="n"/>
      <c r="K32" s="14" t="inlineStr">
        <is>
          <t>جمارك دبي</t>
        </is>
      </c>
      <c r="L32" s="101" t="n"/>
      <c r="M32" s="14" t="inlineStr">
        <is>
          <t>الاقتصاد والتنمية الاجتماعية</t>
        </is>
      </c>
      <c r="N32" s="14" t="inlineStr">
        <is>
          <t>السياسات والاستراتيجيات الاقتصادية</t>
        </is>
      </c>
    </row>
    <row r="33">
      <c r="A33" s="101" t="inlineStr">
        <is>
          <t>Economic_Performace_Tracker.xlsx</t>
        </is>
      </c>
      <c r="C33" t="inlineStr">
        <is>
          <t>مدير توضيحي 3</t>
        </is>
      </c>
      <c r="D33" t="inlineStr">
        <is>
          <t>قرار توضيحي 032</t>
        </is>
      </c>
      <c r="E33" s="14" t="n">
        <v>15</v>
      </c>
      <c r="G33" s="14" t="inlineStr">
        <is>
          <t>مجلس الشؤون الاستراتيجية</t>
        </is>
      </c>
      <c r="H33" s="14" t="n">
        <v>2026</v>
      </c>
      <c r="I33" s="102" t="n"/>
      <c r="K33" s="14" t="inlineStr">
        <is>
          <t>دائرة الاقتصاد والسياحة بدبي</t>
        </is>
      </c>
      <c r="L33" s="101" t="n"/>
      <c r="M33" s="14" t="inlineStr">
        <is>
          <t>الاقتصاد والتنمية الاجتماعية</t>
        </is>
      </c>
      <c r="N33" s="14" t="inlineStr">
        <is>
          <t>السياسات والاستراتيجيات الاقتصادية</t>
        </is>
      </c>
    </row>
    <row r="34">
      <c r="A34" s="101" t="inlineStr">
        <is>
          <t>Governance_Performace_Tracker.xlsx</t>
        </is>
      </c>
      <c r="B34" s="14" t="inlineStr">
        <is>
          <t>للإضافة</t>
        </is>
      </c>
      <c r="C34" t="inlineStr">
        <is>
          <t>مدير توضيحي 1</t>
        </is>
      </c>
      <c r="D34" t="inlineStr">
        <is>
          <t>قرار توضيحي 033</t>
        </is>
      </c>
      <c r="E34" s="14" t="n">
        <v>33</v>
      </c>
      <c r="G34" s="14" t="inlineStr">
        <is>
          <t>مجلس الشؤون الاستراتيجية</t>
        </is>
      </c>
      <c r="H34" s="14" t="n">
        <v>2025</v>
      </c>
      <c r="I34" s="102" t="n">
        <v>46288</v>
      </c>
      <c r="K34" s="14" t="inlineStr">
        <is>
          <t>دائرة المالية</t>
        </is>
      </c>
      <c r="L34" s="101" t="n"/>
      <c r="M34" s="14" t="inlineStr">
        <is>
          <t>الحوكمة</t>
        </is>
      </c>
      <c r="N34" s="14" t="inlineStr">
        <is>
          <t>الحوكمة</t>
        </is>
      </c>
      <c r="O34" s="14" t="inlineStr">
        <is>
          <t>بريد من الوحدة التنظيمية</t>
        </is>
      </c>
      <c r="R34" s="14" t="inlineStr">
        <is>
          <t>قيد التطوير</t>
        </is>
      </c>
    </row>
    <row r="35">
      <c r="A35" s="101" t="inlineStr">
        <is>
          <t>Governance_Performace_Tracker.xlsx</t>
        </is>
      </c>
      <c r="B35" s="14" t="inlineStr">
        <is>
          <t>ضمن الخطة</t>
        </is>
      </c>
      <c r="C35" t="inlineStr">
        <is>
          <t>مدير توضيحي 2</t>
        </is>
      </c>
      <c r="D35" t="inlineStr">
        <is>
          <t>قرار توضيحي 034</t>
        </is>
      </c>
      <c r="G35" s="14" t="inlineStr">
        <is>
          <t>المجلس التنفيذي</t>
        </is>
      </c>
      <c r="H35" s="14" t="n">
        <v>2019</v>
      </c>
      <c r="I35" s="102" t="n">
        <v>46164</v>
      </c>
      <c r="K35" s="14" t="inlineStr">
        <is>
          <t>دائرة الموارد البشرية لحكومة دبي</t>
        </is>
      </c>
      <c r="L35" s="101" t="n"/>
      <c r="M35" s="14" t="inlineStr">
        <is>
          <t>الحوكمة</t>
        </is>
      </c>
      <c r="N35" s="14" t="inlineStr">
        <is>
          <t>الحوكمة</t>
        </is>
      </c>
      <c r="O35" s="14" t="inlineStr">
        <is>
          <t>بريد من الوحدة التنظيمية</t>
        </is>
      </c>
      <c r="P35" s="14" t="n">
        <v>46087</v>
      </c>
      <c r="Q35" s="14" t="n">
        <v>46143</v>
      </c>
      <c r="R35" s="14" t="inlineStr">
        <is>
          <t>قيد التطوير</t>
        </is>
      </c>
      <c r="S35" s="14" t="n">
        <v>0.75</v>
      </c>
      <c r="T35" s="14" t="inlineStr">
        <is>
          <t>نعم</t>
        </is>
      </c>
    </row>
    <row r="36">
      <c r="A36" s="101" t="inlineStr">
        <is>
          <t>Governance_Performace_Tracker.xlsx</t>
        </is>
      </c>
      <c r="B36" s="14" t="inlineStr">
        <is>
          <t>لا ينطبق</t>
        </is>
      </c>
      <c r="C36" t="inlineStr">
        <is>
          <t>مدير توضيحي 3</t>
        </is>
      </c>
      <c r="D36" t="inlineStr">
        <is>
          <t>قرار توضيحي 035</t>
        </is>
      </c>
      <c r="E36" s="14" t="inlineStr">
        <is>
          <t>14/2023</t>
        </is>
      </c>
      <c r="G36" s="14" t="inlineStr">
        <is>
          <t>مجلس الشؤون الاستراتيجية</t>
        </is>
      </c>
      <c r="H36" s="14" t="n">
        <v>2023</v>
      </c>
      <c r="I36" s="102" t="n">
        <v>46125</v>
      </c>
      <c r="K36" s="14" t="inlineStr">
        <is>
          <t>هيئة دبي الرقمية</t>
        </is>
      </c>
      <c r="L36" s="101" t="n"/>
      <c r="M36" s="14" t="inlineStr">
        <is>
          <t>الحوكمة</t>
        </is>
      </c>
      <c r="N36" s="14" t="inlineStr">
        <is>
          <t>الحوكمة</t>
        </is>
      </c>
      <c r="O36" s="14" t="inlineStr">
        <is>
          <t>بريد من الوحدة التنظيمية</t>
        </is>
      </c>
      <c r="P36" s="14" t="n">
        <v>46240</v>
      </c>
      <c r="Q36" s="14" t="n">
        <v>46211</v>
      </c>
      <c r="R36" s="14" t="inlineStr">
        <is>
          <t>قيد المراجعة</t>
        </is>
      </c>
      <c r="T36" s="14" t="inlineStr">
        <is>
          <t>نعم</t>
        </is>
      </c>
    </row>
    <row r="37">
      <c r="A37" s="101" t="inlineStr">
        <is>
          <t>Governance_Performace_Tracker.xlsx</t>
        </is>
      </c>
      <c r="B37" s="14" t="inlineStr">
        <is>
          <t>ضمن الخطة</t>
        </is>
      </c>
      <c r="C37" t="inlineStr">
        <is>
          <t>مدير توضيحي 1</t>
        </is>
      </c>
      <c r="D37" t="inlineStr">
        <is>
          <t>قرار توضيحي 036</t>
        </is>
      </c>
      <c r="E37" s="14" t="n">
        <v>5</v>
      </c>
      <c r="G37" s="14" t="inlineStr">
        <is>
          <t>المجلس التنفيذي</t>
        </is>
      </c>
      <c r="H37" s="14" t="n">
        <v>2024</v>
      </c>
      <c r="I37" s="102" t="n">
        <v>46152</v>
      </c>
      <c r="J37" s="14" t="inlineStr">
        <is>
          <t>TEC/OUT/2024/334</t>
        </is>
      </c>
      <c r="K37" s="14" t="inlineStr">
        <is>
          <t>هيئة دبي الرقمية</t>
        </is>
      </c>
      <c r="L37" s="101" t="n"/>
      <c r="M37" s="14" t="inlineStr">
        <is>
          <t>الحوكمة</t>
        </is>
      </c>
      <c r="N37" s="14" t="inlineStr">
        <is>
          <t>الحوكمة</t>
        </is>
      </c>
      <c r="O37" s="14" t="inlineStr">
        <is>
          <t>بريد من الوحدة التنظيمية</t>
        </is>
      </c>
      <c r="P37" s="14" t="n">
        <v>46240</v>
      </c>
      <c r="Q37" s="14" t="n">
        <v>46211</v>
      </c>
      <c r="R37" s="14" t="inlineStr">
        <is>
          <t>قيد المراجعة</t>
        </is>
      </c>
      <c r="T37" s="14" t="inlineStr">
        <is>
          <t>نعم</t>
        </is>
      </c>
    </row>
    <row r="38">
      <c r="A38" s="101" t="inlineStr">
        <is>
          <t>Governance_Performace_Tracker.xlsx</t>
        </is>
      </c>
      <c r="B38" s="14" t="inlineStr">
        <is>
          <t>ضمن الخطة</t>
        </is>
      </c>
      <c r="C38" t="inlineStr">
        <is>
          <t>مدير توضيحي 2</t>
        </is>
      </c>
      <c r="D38" t="inlineStr">
        <is>
          <t>قرار توضيحي 037</t>
        </is>
      </c>
      <c r="E38" s="14" t="n">
        <v>21</v>
      </c>
      <c r="G38" s="14" t="inlineStr">
        <is>
          <t>المجلس التنفيذي</t>
        </is>
      </c>
      <c r="H38" s="14" t="n">
        <v>2024</v>
      </c>
      <c r="I38" s="102" t="n">
        <v>46297</v>
      </c>
      <c r="J38" s="14" t="inlineStr">
        <is>
          <t>TEC/OUT/2024/733</t>
        </is>
      </c>
      <c r="K38" s="14" t="inlineStr">
        <is>
          <t>هيئة دبي الرقمية</t>
        </is>
      </c>
      <c r="L38" s="101" t="n"/>
      <c r="M38" s="14" t="inlineStr">
        <is>
          <t>الحوكمة</t>
        </is>
      </c>
      <c r="N38" s="14" t="inlineStr">
        <is>
          <t>الحوكمة</t>
        </is>
      </c>
      <c r="O38" s="14" t="inlineStr">
        <is>
          <t>مغلق (لا يتطلب متابعة)</t>
        </is>
      </c>
      <c r="R38" s="14" t="inlineStr">
        <is>
          <t>منجز</t>
        </is>
      </c>
      <c r="S38" s="14" t="n">
        <v>1</v>
      </c>
    </row>
    <row r="39">
      <c r="A39" s="101" t="inlineStr">
        <is>
          <t>Governance_Performace_Tracker.xlsx</t>
        </is>
      </c>
      <c r="B39" s="14" t="inlineStr">
        <is>
          <t>ضمن الخطة</t>
        </is>
      </c>
      <c r="C39" t="inlineStr">
        <is>
          <t>مدير توضيحي 3</t>
        </is>
      </c>
      <c r="D39" t="inlineStr">
        <is>
          <t>قرار توضيحي 038</t>
        </is>
      </c>
      <c r="E39" s="14" t="n">
        <v>6</v>
      </c>
      <c r="G39" s="14" t="inlineStr">
        <is>
          <t>المجلس التنفيذي</t>
        </is>
      </c>
      <c r="H39" s="14" t="n">
        <v>2025</v>
      </c>
      <c r="I39" s="102" t="n">
        <v>46063</v>
      </c>
      <c r="J39" s="14" t="inlineStr">
        <is>
          <t>TEC/OUT/2025/135</t>
        </is>
      </c>
      <c r="K39" s="14" t="inlineStr">
        <is>
          <t>هيئة دبي الرقمية</t>
        </is>
      </c>
      <c r="L39" s="101" t="n"/>
      <c r="M39" s="14" t="inlineStr">
        <is>
          <t>الحوكمة</t>
        </is>
      </c>
      <c r="N39" s="14" t="inlineStr">
        <is>
          <t>الحوكمة</t>
        </is>
      </c>
      <c r="O39" s="14" t="inlineStr">
        <is>
          <t>بريد من الوحدة التنظيمية</t>
        </is>
      </c>
      <c r="P39" s="14" t="n">
        <v>46240</v>
      </c>
      <c r="Q39" s="14" t="n">
        <v>46211</v>
      </c>
      <c r="R39" s="14" t="inlineStr">
        <is>
          <t>قيد المراجعة</t>
        </is>
      </c>
      <c r="T39" s="14" t="inlineStr">
        <is>
          <t>نعم</t>
        </is>
      </c>
    </row>
    <row r="40">
      <c r="A40" s="101" t="inlineStr">
        <is>
          <t>Governance_Performace_Tracker.xlsx</t>
        </is>
      </c>
      <c r="B40" s="14" t="inlineStr">
        <is>
          <t>لا ينطبق</t>
        </is>
      </c>
      <c r="C40" t="inlineStr">
        <is>
          <t>مدير توضيحي 1</t>
        </is>
      </c>
      <c r="D40" t="inlineStr">
        <is>
          <t>قرار توضيحي 039</t>
        </is>
      </c>
      <c r="E40" s="14" t="n">
        <v>44</v>
      </c>
      <c r="G40" s="14" t="inlineStr">
        <is>
          <t>مجلس الشؤون الاستراتيجية</t>
        </is>
      </c>
      <c r="H40" s="14" t="n">
        <v>2024</v>
      </c>
      <c r="I40" s="102" t="n">
        <v>46357</v>
      </c>
      <c r="K40" s="14" t="inlineStr">
        <is>
          <t>هيئة دبي الرقمية</t>
        </is>
      </c>
      <c r="L40" s="101" t="n"/>
      <c r="M40" s="14" t="inlineStr">
        <is>
          <t>الحوكمة</t>
        </is>
      </c>
      <c r="N40" s="14" t="inlineStr">
        <is>
          <t>الحوكمة</t>
        </is>
      </c>
      <c r="O40" s="14" t="inlineStr">
        <is>
          <t>بريد من الوحدة التنظيمية</t>
        </is>
      </c>
      <c r="P40" s="14" t="n">
        <v>46240</v>
      </c>
      <c r="Q40" s="14" t="n">
        <v>46211</v>
      </c>
      <c r="R40" s="14" t="inlineStr">
        <is>
          <t>قيد المراجعة</t>
        </is>
      </c>
      <c r="T40" s="14" t="inlineStr">
        <is>
          <t>نعم</t>
        </is>
      </c>
    </row>
    <row r="41">
      <c r="A41" s="101" t="inlineStr">
        <is>
          <t>Governance_Performace_Tracker.xlsx</t>
        </is>
      </c>
      <c r="B41" s="14" t="inlineStr">
        <is>
          <t>ضمن الخطة</t>
        </is>
      </c>
      <c r="C41" t="inlineStr">
        <is>
          <t>مدير توضيحي 2</t>
        </is>
      </c>
      <c r="D41" t="inlineStr">
        <is>
          <t>قرار توضيحي 040</t>
        </is>
      </c>
      <c r="E41" s="14" t="n">
        <v>10</v>
      </c>
      <c r="G41" s="14" t="inlineStr">
        <is>
          <t>مجلس الشؤون الاستراتيجية</t>
        </is>
      </c>
      <c r="H41" s="14" t="n">
        <v>2026</v>
      </c>
      <c r="I41" s="102" t="n">
        <v>46065</v>
      </c>
      <c r="K41" s="14" t="inlineStr">
        <is>
          <t>هيئة دبي الرقمية</t>
        </is>
      </c>
      <c r="L41" s="101" t="n"/>
      <c r="M41" s="14" t="inlineStr">
        <is>
          <t>الحوكمة</t>
        </is>
      </c>
      <c r="N41" s="14" t="inlineStr">
        <is>
          <t>الحوكمة</t>
        </is>
      </c>
      <c r="O41" s="14" t="inlineStr">
        <is>
          <t>بريد من الوحدة التنظيمية</t>
        </is>
      </c>
      <c r="R41" s="14" t="inlineStr">
        <is>
          <t>قيد التطوير</t>
        </is>
      </c>
    </row>
    <row r="42">
      <c r="A42" s="101" t="inlineStr">
        <is>
          <t>Governance_Performace_Tracker.xlsx</t>
        </is>
      </c>
      <c r="B42" s="14" t="inlineStr">
        <is>
          <t>خارج الخطة</t>
        </is>
      </c>
      <c r="C42" t="inlineStr">
        <is>
          <t>مدير توضيحي 3</t>
        </is>
      </c>
      <c r="D42" t="inlineStr">
        <is>
          <t>قرار توضيحي 041</t>
        </is>
      </c>
      <c r="E42" s="14" t="n">
        <v>23</v>
      </c>
      <c r="G42" s="14" t="inlineStr">
        <is>
          <t>مجلس الشؤون الاستراتيجية</t>
        </is>
      </c>
      <c r="H42" s="14" t="n">
        <v>2026</v>
      </c>
      <c r="I42" s="102" t="n">
        <v>46192</v>
      </c>
      <c r="J42" s="14" t="inlineStr">
        <is>
          <t>TEC/OUT/2026/592</t>
        </is>
      </c>
      <c r="K42" s="14" t="inlineStr">
        <is>
          <t>هيئة دبي الرقمية</t>
        </is>
      </c>
      <c r="L42" s="101" t="n"/>
      <c r="M42" s="14" t="inlineStr">
        <is>
          <t>الحوكمة</t>
        </is>
      </c>
      <c r="N42" s="14" t="inlineStr">
        <is>
          <t>الحوكمة</t>
        </is>
      </c>
      <c r="O42" s="14" t="inlineStr">
        <is>
          <t>بريد من الوحدة التنظيمية</t>
        </is>
      </c>
      <c r="P42" s="14" t="n">
        <v>46196</v>
      </c>
      <c r="Q42" s="14" t="n">
        <v>46199</v>
      </c>
      <c r="R42" s="14" t="inlineStr">
        <is>
          <t>منجز</t>
        </is>
      </c>
      <c r="S42" s="14" t="n">
        <v>1</v>
      </c>
      <c r="T42" s="14" t="inlineStr">
        <is>
          <t>نعم</t>
        </is>
      </c>
    </row>
    <row r="43">
      <c r="A43" s="101" t="inlineStr">
        <is>
          <t>Governance_Performace_Tracker.xlsx</t>
        </is>
      </c>
      <c r="C43" t="inlineStr">
        <is>
          <t>مدير توضيحي 1</t>
        </is>
      </c>
      <c r="D43" t="inlineStr">
        <is>
          <t>قرار توضيحي 042</t>
        </is>
      </c>
      <c r="E43" s="14" t="n">
        <v>31</v>
      </c>
      <c r="G43" s="14" t="inlineStr">
        <is>
          <t>مجلس الشؤون الاستراتيجية</t>
        </is>
      </c>
      <c r="H43" s="14" t="n">
        <v>2026</v>
      </c>
      <c r="I43" s="102" t="n"/>
      <c r="K43" s="14" t="inlineStr">
        <is>
          <t>الأمانة العامة للمجلس التنفيذي</t>
        </is>
      </c>
      <c r="L43" s="101" t="n"/>
      <c r="M43" s="14" t="inlineStr">
        <is>
          <t>الحوكمة</t>
        </is>
      </c>
    </row>
    <row r="44">
      <c r="A44" s="101" t="inlineStr">
        <is>
          <t>Governance_Performace_Tracker.xlsx</t>
        </is>
      </c>
      <c r="C44" t="inlineStr">
        <is>
          <t>مدير توضيحي 2</t>
        </is>
      </c>
      <c r="D44" t="inlineStr">
        <is>
          <t>قرار توضيحي 043</t>
        </is>
      </c>
      <c r="E44" s="14" t="n">
        <v>2</v>
      </c>
      <c r="G44" s="14" t="inlineStr">
        <is>
          <t>مجلس الشؤون الاستراتيجية</t>
        </is>
      </c>
      <c r="H44" s="14" t="n">
        <v>2026</v>
      </c>
      <c r="I44" s="102" t="n"/>
      <c r="K44" s="14" t="inlineStr">
        <is>
          <t>هيئة دبي الرقمية</t>
        </is>
      </c>
      <c r="L44" s="101" t="n"/>
      <c r="M44" s="14" t="inlineStr">
        <is>
          <t>الحوكمة</t>
        </is>
      </c>
    </row>
    <row r="45">
      <c r="A45" s="101" t="inlineStr">
        <is>
          <t>Governance_Performace_Tracker.xlsx</t>
        </is>
      </c>
      <c r="C45" t="inlineStr">
        <is>
          <t>مدير توضيحي 3</t>
        </is>
      </c>
      <c r="D45" t="inlineStr">
        <is>
          <t>قرار توضيحي 044</t>
        </is>
      </c>
      <c r="E45" s="14" t="n">
        <v>3</v>
      </c>
      <c r="G45" s="14" t="inlineStr">
        <is>
          <t>مجلس الشؤون الاستراتيجية</t>
        </is>
      </c>
      <c r="H45" s="14" t="n">
        <v>2026</v>
      </c>
      <c r="I45" s="102" t="n"/>
      <c r="K45" s="14" t="inlineStr">
        <is>
          <t>هيئة دبي الرقمية</t>
        </is>
      </c>
      <c r="L45" s="101" t="n"/>
      <c r="M45" s="14" t="inlineStr">
        <is>
          <t>الحوكمة</t>
        </is>
      </c>
    </row>
    <row r="46">
      <c r="A46" s="101" t="inlineStr">
        <is>
          <t>Social_Performace_Tracker.xlsx</t>
        </is>
      </c>
      <c r="B46" s="14" t="inlineStr">
        <is>
          <t>ضمن الخطة</t>
        </is>
      </c>
      <c r="C46" t="inlineStr">
        <is>
          <t>مدير توضيحي 1</t>
        </is>
      </c>
      <c r="D46" t="inlineStr">
        <is>
          <t>قرار توضيحي 045</t>
        </is>
      </c>
      <c r="E46" s="14" t="n">
        <v>18</v>
      </c>
      <c r="G46" s="14" t="inlineStr">
        <is>
          <t>المجلس التنفيذي</t>
        </is>
      </c>
      <c r="H46" s="14" t="n">
        <v>2024</v>
      </c>
      <c r="I46" s="102" t="n">
        <v>46296</v>
      </c>
      <c r="J46" s="14" t="inlineStr">
        <is>
          <t>TEC/OUT/2024/730</t>
        </is>
      </c>
      <c r="K46" s="14" t="inlineStr">
        <is>
          <t>هيئة المعرفة والتنمية البشرية</t>
        </is>
      </c>
      <c r="L46" s="101" t="n"/>
      <c r="M46" s="14" t="inlineStr">
        <is>
          <t>الاقتصاد والتنمية الاجتماعية</t>
        </is>
      </c>
      <c r="N46" s="14" t="inlineStr">
        <is>
          <t>السياسات والاستراتيجيات الاجتماعية</t>
        </is>
      </c>
      <c r="O46" s="14" t="inlineStr">
        <is>
          <t>مغلق (لا يتطلب متابعة)</t>
        </is>
      </c>
      <c r="R46" s="14" t="inlineStr">
        <is>
          <t>منجز</t>
        </is>
      </c>
    </row>
    <row r="47">
      <c r="A47" s="101" t="inlineStr">
        <is>
          <t>Social_Performace_Tracker.xlsx</t>
        </is>
      </c>
      <c r="B47" s="14" t="inlineStr">
        <is>
          <t>ضمن الخطة</t>
        </is>
      </c>
      <c r="C47" t="inlineStr">
        <is>
          <t>مدير توضيحي 2</t>
        </is>
      </c>
      <c r="D47" t="inlineStr">
        <is>
          <t>قرار توضيحي 046</t>
        </is>
      </c>
      <c r="E47" s="14" t="inlineStr">
        <is>
          <t xml:space="preserve"> </t>
        </is>
      </c>
      <c r="G47" s="14" t="inlineStr">
        <is>
          <t>مجلس الشؤون الاستراتيجية</t>
        </is>
      </c>
      <c r="I47" s="102" t="n"/>
      <c r="K47" s="14" t="inlineStr">
        <is>
          <t>هيئة الثقافة والفنون في دبي</t>
        </is>
      </c>
      <c r="L47" s="101" t="n"/>
      <c r="M47" s="14" t="inlineStr">
        <is>
          <t>الاقتصاد والتنمية الاجتماعية</t>
        </is>
      </c>
      <c r="N47" s="14" t="inlineStr">
        <is>
          <t>السياسات والاستراتيجيات الاجتماعية</t>
        </is>
      </c>
      <c r="O47" s="14" t="inlineStr">
        <is>
          <t>مغلق (لا يتطلب متابعة)</t>
        </is>
      </c>
      <c r="R47" s="14" t="inlineStr">
        <is>
          <t>منجز</t>
        </is>
      </c>
    </row>
    <row r="48">
      <c r="A48" s="101" t="inlineStr">
        <is>
          <t>Social_Performace_Tracker.xlsx</t>
        </is>
      </c>
      <c r="C48" t="inlineStr">
        <is>
          <t>مدير توضيحي 3</t>
        </is>
      </c>
      <c r="D48" t="inlineStr">
        <is>
          <t>قرار توضيحي 047</t>
        </is>
      </c>
      <c r="G48" s="14" t="inlineStr">
        <is>
          <t>مجلس الشؤون الاستراتيجية</t>
        </is>
      </c>
      <c r="I48" s="102" t="n"/>
      <c r="K48" s="14" t="inlineStr">
        <is>
          <t>هيئة تنمية المجتمع</t>
        </is>
      </c>
      <c r="L48" s="101" t="n"/>
      <c r="M48" s="14" t="inlineStr">
        <is>
          <t>الاقتصاد والتنمية الاجتماعية</t>
        </is>
      </c>
      <c r="N48" s="14" t="inlineStr">
        <is>
          <t>السياسات والاستراتيجيات الاجتماعية</t>
        </is>
      </c>
      <c r="O48" s="14" t="inlineStr">
        <is>
          <t>مغلق (لا يتطلب متابعة)</t>
        </is>
      </c>
      <c r="R48" s="14" t="inlineStr">
        <is>
          <t>منجز</t>
        </is>
      </c>
    </row>
    <row r="49">
      <c r="A49" s="101" t="inlineStr">
        <is>
          <t>Social_Performace_Tracker.xlsx</t>
        </is>
      </c>
      <c r="C49" t="inlineStr">
        <is>
          <t>مدير توضيحي 1</t>
        </is>
      </c>
      <c r="D49" t="inlineStr">
        <is>
          <t>قرار توضيحي 048</t>
        </is>
      </c>
      <c r="E49" s="14" t="inlineStr">
        <is>
          <t xml:space="preserve"> </t>
        </is>
      </c>
      <c r="G49" s="14" t="inlineStr">
        <is>
          <t>مجلس الشؤون الاستراتيجية</t>
        </is>
      </c>
      <c r="I49" s="102" t="n"/>
      <c r="K49" s="14" t="inlineStr">
        <is>
          <t>مؤسسة الأوقاف وإدارة أموال القُصّر في دبي</t>
        </is>
      </c>
      <c r="L49" s="101" t="n"/>
      <c r="M49" s="14" t="inlineStr">
        <is>
          <t>الاقتصاد والتنمية الاجتماعية</t>
        </is>
      </c>
      <c r="N49" s="14" t="inlineStr">
        <is>
          <t>السياسات والاستراتيجيات الاجتماعية</t>
        </is>
      </c>
      <c r="O49" s="14" t="inlineStr">
        <is>
          <t>مغلق (لا يتطلب متابعة)</t>
        </is>
      </c>
      <c r="R49" s="14" t="inlineStr">
        <is>
          <t>منجز</t>
        </is>
      </c>
    </row>
    <row r="50">
      <c r="A50" s="101" t="inlineStr">
        <is>
          <t>Social_Performace_Tracker.xlsx</t>
        </is>
      </c>
      <c r="C50" t="inlineStr">
        <is>
          <t>مدير توضيحي 2</t>
        </is>
      </c>
      <c r="D50" t="inlineStr">
        <is>
          <t>قرار توضيحي 049</t>
        </is>
      </c>
      <c r="E50" s="14" t="n">
        <v>23</v>
      </c>
      <c r="G50" s="14" t="inlineStr">
        <is>
          <t>المجلس التنفيذي</t>
        </is>
      </c>
      <c r="H50" s="14" t="n">
        <v>2025</v>
      </c>
      <c r="I50" s="102" t="n">
        <v>45967</v>
      </c>
      <c r="J50" s="14" t="inlineStr">
        <is>
          <t>TEC/OUT/2025/1164</t>
        </is>
      </c>
      <c r="K50" s="14" t="inlineStr">
        <is>
          <t>مجلس دبي الرياضي</t>
        </is>
      </c>
      <c r="L50" s="101" t="n"/>
      <c r="M50" s="14" t="inlineStr">
        <is>
          <t>الاقتصاد والتنمية الاجتماعية</t>
        </is>
      </c>
      <c r="N50" s="14" t="inlineStr">
        <is>
          <t>السياسات والاستراتيجيات الاجتماعية</t>
        </is>
      </c>
      <c r="O50" s="14" t="inlineStr">
        <is>
          <t>مغلق (لا يتطلب متابعة)</t>
        </is>
      </c>
      <c r="R50" s="14" t="inlineStr">
        <is>
          <t>منجز</t>
        </is>
      </c>
    </row>
    <row r="51">
      <c r="A51" s="101" t="inlineStr">
        <is>
          <t>Social_Performace_Tracker.xlsx</t>
        </is>
      </c>
      <c r="C51" t="inlineStr">
        <is>
          <t>مدير توضيحي 3</t>
        </is>
      </c>
      <c r="D51" t="inlineStr">
        <is>
          <t>قرار توضيحي 050</t>
        </is>
      </c>
      <c r="E51" s="14" t="n">
        <v>13</v>
      </c>
      <c r="G51" s="14" t="inlineStr">
        <is>
          <t>مجلس الشؤون الاستراتيجية</t>
        </is>
      </c>
      <c r="H51" s="14" t="n">
        <v>2025</v>
      </c>
      <c r="I51" s="102" t="n">
        <v>38777</v>
      </c>
      <c r="K51" s="14" t="inlineStr">
        <is>
          <t>دائرة الأراضي والأملاك</t>
        </is>
      </c>
      <c r="L51" s="101" t="n"/>
      <c r="M51" s="14" t="inlineStr">
        <is>
          <t>الاقتصاد والتنمية الاجتماعية</t>
        </is>
      </c>
      <c r="N51" s="14" t="inlineStr">
        <is>
          <t>السياسات والاستراتيجيات الاجتماعية</t>
        </is>
      </c>
      <c r="O51" s="14" t="inlineStr">
        <is>
          <t>مغلق (لا يتطلب متابعة)</t>
        </is>
      </c>
      <c r="R51" s="14" t="inlineStr">
        <is>
          <t>منجز</t>
        </is>
      </c>
    </row>
    <row r="52">
      <c r="A52" s="101" t="inlineStr">
        <is>
          <t>Social_Performace_Tracker.xlsx</t>
        </is>
      </c>
      <c r="C52" t="inlineStr">
        <is>
          <t>مدير توضيحي 1</t>
        </is>
      </c>
      <c r="D52" t="inlineStr">
        <is>
          <t>قرار توضيحي 051</t>
        </is>
      </c>
      <c r="E52" s="14" t="n">
        <v>16</v>
      </c>
      <c r="G52" s="14" t="inlineStr">
        <is>
          <t>المجلس التنفيذي</t>
        </is>
      </c>
      <c r="H52" s="14" t="n">
        <v>2024</v>
      </c>
      <c r="I52" s="102" t="n">
        <v>45567</v>
      </c>
      <c r="J52" s="14" t="inlineStr">
        <is>
          <t>TEC/OUT/2024/728</t>
        </is>
      </c>
      <c r="K52" s="14" t="inlineStr">
        <is>
          <t>مؤسسة مكتبة محمد بن راشد آل مكتوم</t>
        </is>
      </c>
      <c r="L52" s="101" t="inlineStr">
        <is>
          <t>مجلس إدارة مؤسسة مكتبة محمد بن راشد آل مكتوم</t>
        </is>
      </c>
      <c r="M52" s="14" t="inlineStr">
        <is>
          <t>الاقتصاد والتنمية الاجتماعية</t>
        </is>
      </c>
      <c r="N52" s="14" t="inlineStr">
        <is>
          <t>السياسات والاستراتيجيات الاجتماعية</t>
        </is>
      </c>
      <c r="O52" s="14" t="inlineStr">
        <is>
          <t>مغلق (لا يتطلب متابعة)</t>
        </is>
      </c>
      <c r="R52" s="14" t="inlineStr">
        <is>
          <t>منجز</t>
        </is>
      </c>
    </row>
    <row r="53">
      <c r="A53" s="101" t="inlineStr">
        <is>
          <t>Social_Performace_Tracker.xlsx</t>
        </is>
      </c>
      <c r="C53" t="inlineStr">
        <is>
          <t>مدير توضيحي 2</t>
        </is>
      </c>
      <c r="D53" t="inlineStr">
        <is>
          <t>قرار توضيحي 052</t>
        </is>
      </c>
      <c r="E53" s="14" t="n">
        <v>10</v>
      </c>
      <c r="G53" s="14" t="inlineStr">
        <is>
          <t>المجلس التنفيذي</t>
        </is>
      </c>
      <c r="H53" s="14" t="n">
        <v>2024</v>
      </c>
      <c r="I53" s="102" t="n">
        <v>46205</v>
      </c>
      <c r="J53" s="14" t="inlineStr">
        <is>
          <t>TEC/OUT/2024/487</t>
        </is>
      </c>
      <c r="K53" s="14" t="inlineStr">
        <is>
          <t>دائرة الشؤون الإسلامية والعمل الخيري</t>
        </is>
      </c>
      <c r="L53" s="101" t="n"/>
      <c r="M53" s="14" t="inlineStr">
        <is>
          <t>الاقتصاد والتنمية الاجتماعية</t>
        </is>
      </c>
      <c r="N53" s="14" t="inlineStr">
        <is>
          <t>السياسات والاستراتيجيات الاجتماعية</t>
        </is>
      </c>
      <c r="O53" s="14" t="inlineStr">
        <is>
          <t>بريد من الوحدة التنظيمية</t>
        </is>
      </c>
      <c r="R53" s="14" t="inlineStr">
        <is>
          <t>منجز</t>
        </is>
      </c>
    </row>
    <row r="54">
      <c r="A54" s="101" t="inlineStr">
        <is>
          <t>Social_Performace_Tracker.xlsx</t>
        </is>
      </c>
      <c r="C54" t="inlineStr">
        <is>
          <t>مدير توضيحي 3</t>
        </is>
      </c>
      <c r="D54" t="inlineStr">
        <is>
          <t>قرار توضيحي 053</t>
        </is>
      </c>
      <c r="E54" s="14" t="inlineStr">
        <is>
          <t xml:space="preserve"> </t>
        </is>
      </c>
      <c r="G54" s="14" t="inlineStr">
        <is>
          <t>المجلس التنفيذي</t>
        </is>
      </c>
      <c r="I54" s="102" t="n"/>
      <c r="J54" s="14" t="inlineStr">
        <is>
          <t>TEC/OUT/2023/447</t>
        </is>
      </c>
      <c r="K54" s="14" t="inlineStr">
        <is>
          <t>هيئة المعرفة والتنمية البشرية</t>
        </is>
      </c>
      <c r="L54" s="101" t="n"/>
      <c r="M54" s="14" t="inlineStr">
        <is>
          <t>الاقتصاد والتنمية الاجتماعية</t>
        </is>
      </c>
      <c r="N54" s="14" t="inlineStr">
        <is>
          <t>السياسات والاستراتيجيات الاجتماعية</t>
        </is>
      </c>
      <c r="O54" s="14" t="inlineStr">
        <is>
          <t>رسالة رسمية</t>
        </is>
      </c>
      <c r="P54" s="14" t="inlineStr">
        <is>
          <t>28 أبريل 2026</t>
        </is>
      </c>
      <c r="R54" s="14" t="inlineStr">
        <is>
          <t>منجز</t>
        </is>
      </c>
    </row>
    <row r="55">
      <c r="A55" s="101" t="inlineStr">
        <is>
          <t>Social_Performace_Tracker.xlsx</t>
        </is>
      </c>
      <c r="C55" t="inlineStr">
        <is>
          <t>مدير توضيحي 1</t>
        </is>
      </c>
      <c r="D55" t="inlineStr">
        <is>
          <t>قرار توضيحي 054</t>
        </is>
      </c>
      <c r="E55" s="14" t="n">
        <v>11</v>
      </c>
      <c r="G55" s="14" t="inlineStr">
        <is>
          <t>المجلس التنفيذي</t>
        </is>
      </c>
      <c r="H55" s="14" t="n">
        <v>2024</v>
      </c>
      <c r="I55" s="102" t="n">
        <v>46205</v>
      </c>
      <c r="J55" s="14" t="inlineStr">
        <is>
          <t>TEC/OUT/2024/488</t>
        </is>
      </c>
      <c r="K55" s="14" t="inlineStr">
        <is>
          <t>دائرة الشؤون الإسلامية والعمل الخيري</t>
        </is>
      </c>
      <c r="L55" s="101" t="n"/>
      <c r="M55" s="14" t="inlineStr">
        <is>
          <t>الاقتصاد والتنمية الاجتماعية</t>
        </is>
      </c>
      <c r="N55" s="14" t="inlineStr">
        <is>
          <t>السياسات والاستراتيجيات الاجتماعية</t>
        </is>
      </c>
      <c r="O55" s="14" t="inlineStr">
        <is>
          <t>بريد من الوحدة التنظيمية</t>
        </is>
      </c>
      <c r="R55" s="14" t="inlineStr">
        <is>
          <t>منجز</t>
        </is>
      </c>
    </row>
    <row r="56">
      <c r="A56" s="101" t="inlineStr">
        <is>
          <t>Social_Performace_Tracker.xlsx</t>
        </is>
      </c>
      <c r="C56" t="inlineStr">
        <is>
          <t>مدير توضيحي 2</t>
        </is>
      </c>
      <c r="D56" t="inlineStr">
        <is>
          <t>قرار توضيحي 055</t>
        </is>
      </c>
      <c r="I56" s="102" t="n"/>
      <c r="K56" s="14" t="inlineStr">
        <is>
          <t>محاكم دبي</t>
        </is>
      </c>
      <c r="L56" s="101" t="n"/>
      <c r="M56" s="14" t="inlineStr">
        <is>
          <t>التنمية المستدامة</t>
        </is>
      </c>
      <c r="N56" s="14" t="inlineStr">
        <is>
          <t>السياسات والاستراتيجيات الصحية والعدل</t>
        </is>
      </c>
      <c r="R56" s="14" t="inlineStr">
        <is>
          <t>قيد التطوير</t>
        </is>
      </c>
    </row>
    <row r="57">
      <c r="A57" s="101" t="inlineStr">
        <is>
          <t>Social_Performace_Tracker.xlsx</t>
        </is>
      </c>
      <c r="C57" t="inlineStr">
        <is>
          <t>مدير توضيحي 3</t>
        </is>
      </c>
      <c r="D57" t="inlineStr">
        <is>
          <t>قرار توضيحي 056</t>
        </is>
      </c>
      <c r="E57" s="14" t="inlineStr">
        <is>
          <t xml:space="preserve"> </t>
        </is>
      </c>
      <c r="G57" s="14" t="inlineStr">
        <is>
          <t>المجلس التنفيذي</t>
        </is>
      </c>
      <c r="I57" s="102" t="n"/>
      <c r="K57" s="14" t="inlineStr">
        <is>
          <t>هيئة تنمية المجتمع</t>
        </is>
      </c>
      <c r="L57" s="101" t="n"/>
      <c r="M57" s="14" t="inlineStr">
        <is>
          <t>الاقتصاد والتنمية الاجتماعية</t>
        </is>
      </c>
      <c r="N57" s="14" t="inlineStr">
        <is>
          <t>السياسات والاستراتيجيات الاجتماعية</t>
        </is>
      </c>
      <c r="O57" s="14" t="inlineStr">
        <is>
          <t>بريد من الوحدة التنظيمية</t>
        </is>
      </c>
      <c r="R57" s="14" t="inlineStr">
        <is>
          <t>منجز</t>
        </is>
      </c>
    </row>
    <row r="58">
      <c r="A58" s="101" t="inlineStr">
        <is>
          <t>Social_Performace_Tracker.xlsx</t>
        </is>
      </c>
      <c r="C58" t="inlineStr">
        <is>
          <t>مدير توضيحي 1</t>
        </is>
      </c>
      <c r="D58" t="inlineStr">
        <is>
          <t>قرار توضيحي 057</t>
        </is>
      </c>
      <c r="E58" s="14" t="n">
        <v>8</v>
      </c>
      <c r="G58" s="14" t="inlineStr">
        <is>
          <t>المجلس التنفيذي</t>
        </is>
      </c>
      <c r="H58" s="14" t="n">
        <v>2025</v>
      </c>
      <c r="I58" s="102" t="n">
        <v>46094</v>
      </c>
      <c r="J58" s="14" t="inlineStr">
        <is>
          <t>TEC/OUT/2025/280</t>
        </is>
      </c>
      <c r="K58" s="14" t="inlineStr">
        <is>
          <t>هيئة الثقافة والفنون في دبي</t>
        </is>
      </c>
      <c r="L58" s="101" t="n"/>
      <c r="M58" s="14" t="inlineStr">
        <is>
          <t>الاقتصاد والتنمية الاجتماعية</t>
        </is>
      </c>
      <c r="N58" s="14" t="inlineStr">
        <is>
          <t>السياسات والاستراتيجيات الاجتماعية</t>
        </is>
      </c>
      <c r="O58" s="14" t="inlineStr">
        <is>
          <t>بريد من الوحدة التنظيمية</t>
        </is>
      </c>
      <c r="R58" s="14" t="inlineStr">
        <is>
          <t>قيد التطوير</t>
        </is>
      </c>
    </row>
    <row r="59">
      <c r="A59" s="101" t="inlineStr">
        <is>
          <t>Social_Performace_Tracker.xlsx</t>
        </is>
      </c>
      <c r="C59" t="inlineStr">
        <is>
          <t>مدير توضيحي 2</t>
        </is>
      </c>
      <c r="D59" t="inlineStr">
        <is>
          <t>قرار توضيحي 058</t>
        </is>
      </c>
      <c r="E59" s="14" t="inlineStr">
        <is>
          <t xml:space="preserve"> </t>
        </is>
      </c>
      <c r="G59" s="14" t="inlineStr">
        <is>
          <t>المجلس التنفيذي</t>
        </is>
      </c>
      <c r="I59" s="102" t="n"/>
      <c r="K59" s="14" t="inlineStr">
        <is>
          <t>هيئة تنمية المجتمع</t>
        </is>
      </c>
      <c r="L59" s="101" t="n"/>
      <c r="M59" s="14" t="inlineStr">
        <is>
          <t>الاقتصاد والتنمية الاجتماعية</t>
        </is>
      </c>
      <c r="N59" s="14" t="inlineStr">
        <is>
          <t>السياسات والاستراتيجيات الاجتماعية</t>
        </is>
      </c>
      <c r="O59" s="14" t="inlineStr">
        <is>
          <t>بريد من الوحدة التنظيمية</t>
        </is>
      </c>
      <c r="R59" s="14" t="inlineStr">
        <is>
          <t>منجز</t>
        </is>
      </c>
    </row>
    <row r="60">
      <c r="A60" s="101" t="inlineStr">
        <is>
          <t>Social_Performace_Tracker.xlsx</t>
        </is>
      </c>
      <c r="C60" t="inlineStr">
        <is>
          <t>مدير توضيحي 3</t>
        </is>
      </c>
      <c r="D60" t="inlineStr">
        <is>
          <t>قرار توضيحي 059</t>
        </is>
      </c>
      <c r="E60" s="14" t="n">
        <v>14</v>
      </c>
      <c r="G60" s="14" t="inlineStr">
        <is>
          <t>المجلس التنفيذي</t>
        </is>
      </c>
      <c r="H60" s="14" t="n">
        <v>2025</v>
      </c>
      <c r="I60" s="102" t="n">
        <v>46154</v>
      </c>
      <c r="J60" s="14" t="inlineStr">
        <is>
          <t>TEC/OUT/2025/ 466</t>
        </is>
      </c>
      <c r="K60" s="14" t="inlineStr">
        <is>
          <t>هيئة تنمية المجتمع</t>
        </is>
      </c>
      <c r="L60" s="101" t="n"/>
      <c r="M60" s="14" t="inlineStr">
        <is>
          <t>الاقتصاد والتنمية الاجتماعية</t>
        </is>
      </c>
      <c r="N60" s="14" t="inlineStr">
        <is>
          <t>السياسات والاستراتيجيات الاجتماعية</t>
        </is>
      </c>
      <c r="O60" s="14" t="inlineStr">
        <is>
          <t>بريد من الوحدة التنظيمية</t>
        </is>
      </c>
      <c r="R60" s="14" t="inlineStr">
        <is>
          <t>منجز</t>
        </is>
      </c>
    </row>
    <row r="61">
      <c r="A61" s="101" t="inlineStr">
        <is>
          <t>Social_Performace_Tracker.xlsx</t>
        </is>
      </c>
      <c r="B61" s="14" t="inlineStr">
        <is>
          <t>ضمن الخطة</t>
        </is>
      </c>
      <c r="C61" t="inlineStr">
        <is>
          <t>مدير توضيحي 1</t>
        </is>
      </c>
      <c r="D61" t="inlineStr">
        <is>
          <t>قرار توضيحي 060</t>
        </is>
      </c>
      <c r="E61" s="14" t="inlineStr">
        <is>
          <t xml:space="preserve"> </t>
        </is>
      </c>
      <c r="G61" s="14" t="inlineStr">
        <is>
          <t>المجلس التنفيذي</t>
        </is>
      </c>
      <c r="I61" s="102" t="n"/>
      <c r="J61" s="14" t="inlineStr">
        <is>
          <t>TEC/OUT/2026/000</t>
        </is>
      </c>
      <c r="K61" s="14" t="inlineStr">
        <is>
          <t>دائرة الموارد البشرية لحكومة دبي</t>
        </is>
      </c>
      <c r="L61" s="101" t="n"/>
      <c r="M61" s="14" t="inlineStr">
        <is>
          <t>الاقتصاد والتنمية الاجتماعية</t>
        </is>
      </c>
      <c r="N61" s="14" t="inlineStr">
        <is>
          <t>السياسات والاستراتيجيات الاجتماعية</t>
        </is>
      </c>
      <c r="O61" s="14" t="inlineStr">
        <is>
          <t>بريد من الوحدة التنظيمية</t>
        </is>
      </c>
      <c r="P61" s="14" t="inlineStr">
        <is>
          <t>24 فبراير 2026</t>
        </is>
      </c>
      <c r="R61" s="14" t="inlineStr">
        <is>
          <t>منجز</t>
        </is>
      </c>
    </row>
    <row r="62">
      <c r="A62" s="101" t="inlineStr">
        <is>
          <t>Social_Performace_Tracker.xlsx</t>
        </is>
      </c>
      <c r="B62" s="14" t="inlineStr">
        <is>
          <t>ضمن الخطة</t>
        </is>
      </c>
      <c r="C62" t="inlineStr">
        <is>
          <t>مدير توضيحي 2</t>
        </is>
      </c>
      <c r="D62" t="inlineStr">
        <is>
          <t>قرار توضيحي 061</t>
        </is>
      </c>
      <c r="G62" s="14" t="inlineStr">
        <is>
          <t>المجلس التنفيذي</t>
        </is>
      </c>
      <c r="I62" s="102" t="n"/>
      <c r="J62" s="14" t="inlineStr">
        <is>
          <t>TEC/OUT/2025/664</t>
        </is>
      </c>
      <c r="K62" s="14" t="inlineStr">
        <is>
          <t>هيئة المعرفة والتنمية البشرية</t>
        </is>
      </c>
      <c r="L62" s="101" t="n"/>
      <c r="M62" s="14" t="inlineStr">
        <is>
          <t>الاقتصاد والتنمية الاجتماعية</t>
        </is>
      </c>
      <c r="N62" s="14" t="inlineStr">
        <is>
          <t>السياسات والاستراتيجيات الاجتماعية</t>
        </is>
      </c>
      <c r="O62" s="14" t="inlineStr">
        <is>
          <t>رسالة رسمية</t>
        </is>
      </c>
      <c r="P62" s="14" t="inlineStr">
        <is>
          <t>8 أبريل 2026</t>
        </is>
      </c>
      <c r="R62" s="14" t="inlineStr">
        <is>
          <t>منجز</t>
        </is>
      </c>
    </row>
    <row r="63">
      <c r="A63" s="101" t="inlineStr">
        <is>
          <t>Social_Performace_Tracker.xlsx</t>
        </is>
      </c>
      <c r="B63" s="14" t="inlineStr">
        <is>
          <t>ضمن الخطة</t>
        </is>
      </c>
      <c r="C63" t="inlineStr">
        <is>
          <t>مدير توضيحي 3</t>
        </is>
      </c>
      <c r="D63" t="inlineStr">
        <is>
          <t>قرار توضيحي 062</t>
        </is>
      </c>
      <c r="G63" s="14" t="inlineStr">
        <is>
          <t>المجلس التنفيذي</t>
        </is>
      </c>
      <c r="I63" s="102" t="n"/>
      <c r="J63" s="14" t="inlineStr">
        <is>
          <t>TEC/OUT/2025/282</t>
        </is>
      </c>
      <c r="K63" s="14" t="inlineStr">
        <is>
          <t>هيئة المعرفة والتنمية البشرية</t>
        </is>
      </c>
      <c r="L63" s="101" t="n"/>
      <c r="M63" s="14" t="inlineStr">
        <is>
          <t>الاقتصاد والتنمية الاجتماعية</t>
        </is>
      </c>
      <c r="N63" s="14" t="inlineStr">
        <is>
          <t>السياسات والاستراتيجيات الاجتماعية</t>
        </is>
      </c>
      <c r="O63" s="14" t="inlineStr">
        <is>
          <t>رسالة رسمية</t>
        </is>
      </c>
      <c r="P63" s="14" t="inlineStr">
        <is>
          <t>8 أبريل 2026</t>
        </is>
      </c>
      <c r="R63" s="14" t="inlineStr">
        <is>
          <t>منجز</t>
        </is>
      </c>
    </row>
    <row r="64">
      <c r="A64" s="101" t="inlineStr">
        <is>
          <t>Social_Performace_Tracker.xlsx</t>
        </is>
      </c>
      <c r="C64" t="inlineStr">
        <is>
          <t>مدير توضيحي 1</t>
        </is>
      </c>
      <c r="D64" t="inlineStr">
        <is>
          <t>قرار توضيحي 063</t>
        </is>
      </c>
      <c r="E64" s="14" t="inlineStr">
        <is>
          <t xml:space="preserve"> </t>
        </is>
      </c>
      <c r="G64" s="14" t="inlineStr">
        <is>
          <t>المجلس التنفيذي</t>
        </is>
      </c>
      <c r="I64" s="102" t="n"/>
      <c r="K64" s="14" t="inlineStr">
        <is>
          <t>هيئة المعرفة والتنمية البشرية</t>
        </is>
      </c>
      <c r="L64" s="101" t="n"/>
      <c r="M64" s="14" t="inlineStr">
        <is>
          <t>الاقتصاد والتنمية الاجتماعية</t>
        </is>
      </c>
      <c r="N64" s="14" t="inlineStr">
        <is>
          <t>السياسات والاستراتيجيات الاجتماعية</t>
        </is>
      </c>
      <c r="O64" s="14" t="inlineStr">
        <is>
          <t>بريد من الوحدة التنظيمية</t>
        </is>
      </c>
      <c r="R64" s="14" t="inlineStr">
        <is>
          <t>منجز</t>
        </is>
      </c>
    </row>
    <row r="65">
      <c r="A65" s="101" t="inlineStr">
        <is>
          <t>Social_Performace_Tracker.xlsx</t>
        </is>
      </c>
      <c r="B65" s="14" t="inlineStr">
        <is>
          <t>ضمن الخطة</t>
        </is>
      </c>
      <c r="C65" t="inlineStr">
        <is>
          <t>مدير توضيحي 2</t>
        </is>
      </c>
      <c r="D65" t="inlineStr">
        <is>
          <t>قرار توضيحي 064</t>
        </is>
      </c>
      <c r="I65" s="102" t="n"/>
      <c r="K65" s="14" t="inlineStr">
        <is>
          <t>هيئة المعرفة والتنمية البشرية</t>
        </is>
      </c>
      <c r="L65" s="101" t="n"/>
      <c r="M65" s="14" t="inlineStr">
        <is>
          <t>الاقتصاد والتنمية الاجتماعية</t>
        </is>
      </c>
      <c r="N65" s="14" t="inlineStr">
        <is>
          <t>السياسات والاستراتيجيات الاجتماعية</t>
        </is>
      </c>
      <c r="O65" s="14" t="inlineStr">
        <is>
          <t>رسالة رسمية</t>
        </is>
      </c>
      <c r="P65" s="14" t="inlineStr">
        <is>
          <t>8 أبريل 2026</t>
        </is>
      </c>
      <c r="R65" s="14" t="inlineStr">
        <is>
          <t>منجز</t>
        </is>
      </c>
    </row>
    <row r="66">
      <c r="A66" s="101" t="inlineStr">
        <is>
          <t>Social_Performace_Tracker.xlsx</t>
        </is>
      </c>
      <c r="B66" s="14" t="inlineStr">
        <is>
          <t>ضمن الخطة</t>
        </is>
      </c>
      <c r="C66" t="inlineStr">
        <is>
          <t>مدير توضيحي 3</t>
        </is>
      </c>
      <c r="D66" t="inlineStr">
        <is>
          <t>قرار توضيحي 065</t>
        </is>
      </c>
      <c r="I66" s="102" t="n"/>
      <c r="K66" s="14" t="inlineStr">
        <is>
          <t>هيئة المعرفة والتنمية البشرية</t>
        </is>
      </c>
      <c r="L66" s="101" t="n"/>
      <c r="M66" s="14" t="inlineStr">
        <is>
          <t>الاقتصاد والتنمية الاجتماعية</t>
        </is>
      </c>
      <c r="N66" s="14" t="inlineStr">
        <is>
          <t>السياسات والاستراتيجيات الاجتماعية</t>
        </is>
      </c>
      <c r="O66" s="14" t="inlineStr">
        <is>
          <t>رسالة رسمية</t>
        </is>
      </c>
      <c r="P66" s="14" t="inlineStr">
        <is>
          <t>8 أبريل 2026</t>
        </is>
      </c>
      <c r="R66" s="14" t="inlineStr">
        <is>
          <t>منجز</t>
        </is>
      </c>
    </row>
    <row r="67">
      <c r="A67" s="101" t="inlineStr">
        <is>
          <t>Social_Performace_Tracker.xlsx</t>
        </is>
      </c>
      <c r="C67" t="inlineStr">
        <is>
          <t>مدير توضيحي 1</t>
        </is>
      </c>
      <c r="D67" t="inlineStr">
        <is>
          <t>قرار توضيحي 066</t>
        </is>
      </c>
      <c r="E67" s="14" t="n">
        <v>4</v>
      </c>
      <c r="G67" s="14" t="inlineStr">
        <is>
          <t>المجلس التنفيذي</t>
        </is>
      </c>
      <c r="H67" s="14" t="n">
        <v>2025</v>
      </c>
      <c r="I67" s="102" t="n">
        <v>46063</v>
      </c>
      <c r="J67" s="14" t="inlineStr">
        <is>
          <t>TEC/OUT/2025/133</t>
        </is>
      </c>
      <c r="K67" s="14" t="inlineStr">
        <is>
          <t>هيئة تنمية المجتمع</t>
        </is>
      </c>
      <c r="L67" s="101" t="n"/>
      <c r="M67" s="14" t="inlineStr">
        <is>
          <t>الاقتصاد والتنمية الاجتماعية</t>
        </is>
      </c>
      <c r="N67" s="14" t="inlineStr">
        <is>
          <t>السياسات والاستراتيجيات الاجتماعية</t>
        </is>
      </c>
      <c r="O67" s="14" t="inlineStr">
        <is>
          <t>بريد من الوحدة التنظيمية</t>
        </is>
      </c>
      <c r="R67" s="14" t="inlineStr">
        <is>
          <t>منجز</t>
        </is>
      </c>
    </row>
    <row r="68">
      <c r="A68" s="101" t="inlineStr">
        <is>
          <t>Social_Performace_Tracker.xlsx</t>
        </is>
      </c>
      <c r="C68" t="inlineStr">
        <is>
          <t>مدير توضيحي 2</t>
        </is>
      </c>
      <c r="D68" t="inlineStr">
        <is>
          <t>قرار توضيحي 067</t>
        </is>
      </c>
      <c r="E68" s="14" t="inlineStr">
        <is>
          <t xml:space="preserve"> </t>
        </is>
      </c>
      <c r="G68" s="14" t="inlineStr">
        <is>
          <t>المجلس التنفيذي</t>
        </is>
      </c>
      <c r="I68" s="102" t="n"/>
      <c r="J68" s="14" t="inlineStr">
        <is>
          <t>TEC/OUT/2024/338</t>
        </is>
      </c>
      <c r="K68" s="14" t="inlineStr">
        <is>
          <t>دائرة الموارد البشرية لحكومة دبي</t>
        </is>
      </c>
      <c r="L68" s="101" t="n"/>
      <c r="M68" s="14" t="inlineStr">
        <is>
          <t>الحوكمة</t>
        </is>
      </c>
      <c r="N68" s="14" t="inlineStr">
        <is>
          <t>الحوكمة</t>
        </is>
      </c>
    </row>
    <row r="69">
      <c r="A69" s="101" t="inlineStr">
        <is>
          <t>Social_Performace_Tracker.xlsx</t>
        </is>
      </c>
      <c r="C69" t="inlineStr">
        <is>
          <t>مدير توضيحي 3</t>
        </is>
      </c>
      <c r="D69" t="inlineStr">
        <is>
          <t>قرار توضيحي 068</t>
        </is>
      </c>
      <c r="I69" s="102" t="n"/>
      <c r="K69" s="14" t="inlineStr">
        <is>
          <t>هيئة المعرفة والتنمية البشرية</t>
        </is>
      </c>
      <c r="L69" s="101" t="inlineStr">
        <is>
          <t>هيئة المعرفة والتنمية البشرية ودائرة الاقتصاد والسياحة</t>
        </is>
      </c>
      <c r="M69" s="14" t="inlineStr">
        <is>
          <t>الاقتصاد والتنمية الاجتماعية</t>
        </is>
      </c>
      <c r="N69" s="14" t="inlineStr">
        <is>
          <t>السياسات والاستراتيجيات الاجتماعية</t>
        </is>
      </c>
      <c r="O69" s="14" t="inlineStr">
        <is>
          <t>رسالة رسمية</t>
        </is>
      </c>
      <c r="P69" s="14" t="inlineStr">
        <is>
          <t>8 أبريل 2026</t>
        </is>
      </c>
      <c r="R69" s="14" t="inlineStr">
        <is>
          <t>منجز</t>
        </is>
      </c>
    </row>
    <row r="70">
      <c r="A70" s="101" t="inlineStr">
        <is>
          <t>Social_Performace_Tracker.xlsx</t>
        </is>
      </c>
      <c r="C70" t="inlineStr">
        <is>
          <t>مدير توضيحي 1</t>
        </is>
      </c>
      <c r="D70" t="inlineStr">
        <is>
          <t>قرار توضيحي 069</t>
        </is>
      </c>
      <c r="E70" s="14" t="n">
        <v>5</v>
      </c>
      <c r="G70" s="14" t="inlineStr">
        <is>
          <t>المجلس التنفيذي</t>
        </is>
      </c>
      <c r="H70" s="14" t="n">
        <v>2025</v>
      </c>
      <c r="I70" s="102" t="n">
        <v>46336</v>
      </c>
      <c r="J70" s="14" t="inlineStr">
        <is>
          <t>TEC/OUT/2024/134</t>
        </is>
      </c>
      <c r="K70" s="14" t="inlineStr">
        <is>
          <t>الأمانة العامة للمجلس التنفيذي</t>
        </is>
      </c>
      <c r="L70" s="101" t="n"/>
      <c r="M70" s="14" t="inlineStr">
        <is>
          <t>الاقتصاد والتنمية الاجتماعية</t>
        </is>
      </c>
      <c r="N70" s="14" t="inlineStr">
        <is>
          <t>السياسات والاستراتيجيات الاجتماعية</t>
        </is>
      </c>
      <c r="O70" s="14" t="inlineStr">
        <is>
          <t>بريد من الوحدة التنظيمية</t>
        </is>
      </c>
    </row>
    <row r="71">
      <c r="A71" s="101" t="inlineStr">
        <is>
          <t>Social_Performace_Tracker.xlsx</t>
        </is>
      </c>
      <c r="C71" t="inlineStr">
        <is>
          <t>مدير توضيحي 2</t>
        </is>
      </c>
      <c r="D71" t="inlineStr">
        <is>
          <t>قرار توضيحي 070</t>
        </is>
      </c>
      <c r="E71" s="14" t="n">
        <v>24</v>
      </c>
      <c r="G71" s="14" t="inlineStr">
        <is>
          <t>المجلس التنفيذي</t>
        </is>
      </c>
      <c r="H71" s="14" t="n">
        <v>2025</v>
      </c>
      <c r="I71" s="102" t="n">
        <v>46332</v>
      </c>
      <c r="J71" s="14" t="inlineStr">
        <is>
          <t>TEC/OUT/2025/1165</t>
        </is>
      </c>
      <c r="K71" s="14" t="inlineStr">
        <is>
          <t>مجلس تنمية الموارد البشرية الإماراتية</t>
        </is>
      </c>
      <c r="L71" s="101" t="n"/>
      <c r="M71" s="14" t="inlineStr">
        <is>
          <t>الاقتصاد والتنمية الاجتماعية</t>
        </is>
      </c>
      <c r="N71" s="14" t="inlineStr">
        <is>
          <t>السياسات والاستراتيجيات الاجتماعية</t>
        </is>
      </c>
    </row>
    <row r="72">
      <c r="A72" s="101" t="inlineStr">
        <is>
          <t>Social_Performace_Tracker.xlsx</t>
        </is>
      </c>
      <c r="C72" t="inlineStr">
        <is>
          <t>مدير توضيحي 3</t>
        </is>
      </c>
      <c r="D72" t="inlineStr">
        <is>
          <t>قرار توضيحي 071</t>
        </is>
      </c>
      <c r="E72" s="14" t="inlineStr">
        <is>
          <t xml:space="preserve"> </t>
        </is>
      </c>
      <c r="G72" s="14" t="inlineStr">
        <is>
          <t>المجلس التنفيذي</t>
        </is>
      </c>
      <c r="I72" s="102" t="n"/>
      <c r="K72" s="14" t="inlineStr">
        <is>
          <t>هيئة تنمية المجتمع</t>
        </is>
      </c>
      <c r="L72" s="101" t="n"/>
      <c r="M72" s="14" t="inlineStr">
        <is>
          <t>الاقتصاد والتنمية الاجتماعية</t>
        </is>
      </c>
      <c r="N72" s="14" t="inlineStr">
        <is>
          <t>السياسات والاستراتيجيات الاجتماعية</t>
        </is>
      </c>
      <c r="R72" s="14" t="inlineStr">
        <is>
          <t>منجز</t>
        </is>
      </c>
    </row>
    <row r="73">
      <c r="A73" s="101" t="inlineStr">
        <is>
          <t>Social_Performace_Tracker.xlsx</t>
        </is>
      </c>
      <c r="C73" t="inlineStr">
        <is>
          <t>مدير توضيحي 1</t>
        </is>
      </c>
      <c r="D73" t="inlineStr">
        <is>
          <t>قرار توضيحي 072</t>
        </is>
      </c>
      <c r="E73" s="14" t="n">
        <v>33</v>
      </c>
      <c r="G73" s="14" t="inlineStr">
        <is>
          <t>مجلس الشؤون الاستراتيجية</t>
        </is>
      </c>
      <c r="H73" s="14" t="n">
        <v>2026</v>
      </c>
      <c r="I73" s="102" t="n"/>
      <c r="K73" s="14" t="inlineStr">
        <is>
          <t>دائرة الموارد البشرية لحكومة دبي</t>
        </is>
      </c>
      <c r="L73" s="101" t="n"/>
      <c r="M73" s="14" t="inlineStr">
        <is>
          <t>الاقتصاد والتنمية الاجتماعية</t>
        </is>
      </c>
      <c r="N73" s="14" t="inlineStr">
        <is>
          <t>السياسات والاستراتيجيات الاجتماعية</t>
        </is>
      </c>
    </row>
    <row r="74">
      <c r="A74" s="101" t="inlineStr">
        <is>
          <t>Social_Performace_Tracker.xlsx</t>
        </is>
      </c>
      <c r="C74" t="inlineStr">
        <is>
          <t>مدير توضيحي 2</t>
        </is>
      </c>
      <c r="D74" t="inlineStr">
        <is>
          <t>قرار توضيحي 073</t>
        </is>
      </c>
      <c r="E74" s="14" t="n">
        <v>32</v>
      </c>
      <c r="G74" s="14" t="inlineStr">
        <is>
          <t>مجلس الشؤون الاستراتيجية</t>
        </is>
      </c>
      <c r="H74" s="14" t="n">
        <v>2026</v>
      </c>
      <c r="I74" s="102" t="n"/>
      <c r="K74" s="14" t="inlineStr">
        <is>
          <t>هيئة تنمية المجتمع</t>
        </is>
      </c>
      <c r="L74" s="101" t="n"/>
      <c r="M74" s="14" t="inlineStr">
        <is>
          <t>الاقتصاد والتنمية الاجتماعية</t>
        </is>
      </c>
      <c r="N74" s="14" t="inlineStr">
        <is>
          <t>السياسات والاستراتيجيات الاجتماعية</t>
        </is>
      </c>
    </row>
    <row r="75">
      <c r="A75" s="101" t="inlineStr">
        <is>
          <t>Social_Performace_Tracker.xlsx</t>
        </is>
      </c>
      <c r="C75" t="inlineStr">
        <is>
          <t>مدير توضيحي 3</t>
        </is>
      </c>
      <c r="D75" t="inlineStr">
        <is>
          <t>قرار توضيحي 074</t>
        </is>
      </c>
      <c r="E75" s="14" t="n">
        <v>11</v>
      </c>
      <c r="G75" s="14" t="inlineStr">
        <is>
          <t>مجلس الشؤون الاستراتيجية</t>
        </is>
      </c>
      <c r="H75" s="14" t="n">
        <v>2026</v>
      </c>
      <c r="I75" s="102" t="n"/>
      <c r="K75" s="14" t="inlineStr">
        <is>
          <t>هيئة تنمية المجتمع</t>
        </is>
      </c>
      <c r="L75" s="101" t="n"/>
      <c r="M75" s="14" t="inlineStr">
        <is>
          <t>الاقتصاد والتنمية الاجتماعية</t>
        </is>
      </c>
      <c r="N75" s="14" t="inlineStr">
        <is>
          <t>السياسات والاستراتيجيات الاجتماعية</t>
        </is>
      </c>
    </row>
    <row r="76">
      <c r="A76" s="101" t="inlineStr">
        <is>
          <t>Social_Performace_Tracker.xlsx</t>
        </is>
      </c>
      <c r="C76" t="inlineStr">
        <is>
          <t>مدير توضيحي 1</t>
        </is>
      </c>
      <c r="D76" t="inlineStr">
        <is>
          <t>قرار توضيحي 075</t>
        </is>
      </c>
      <c r="E76" s="14" t="n">
        <v>24</v>
      </c>
      <c r="G76" s="14" t="inlineStr">
        <is>
          <t>مجلس الشؤون الاستراتيجية</t>
        </is>
      </c>
      <c r="H76" s="14" t="n">
        <v>2026</v>
      </c>
      <c r="I76" s="102" t="n"/>
      <c r="K76" s="14" t="inlineStr">
        <is>
          <t>هيئة المعرفة والتنمية البشرية</t>
        </is>
      </c>
      <c r="L76" s="101" t="n"/>
      <c r="M76" s="14" t="inlineStr">
        <is>
          <t>الاقتصاد والتنمية الاجتماعية</t>
        </is>
      </c>
      <c r="N76" s="14" t="inlineStr">
        <is>
          <t>السياسات والاستراتيجيات الاجتماعية</t>
        </is>
      </c>
    </row>
    <row r="77">
      <c r="A77" s="101" t="inlineStr">
        <is>
          <t>Sustainability_Performace_Tracker.xlsx</t>
        </is>
      </c>
      <c r="B77" s="14" t="inlineStr">
        <is>
          <t>ضمن الخطة</t>
        </is>
      </c>
      <c r="C77" t="inlineStr">
        <is>
          <t>مدير توضيحي 2</t>
        </is>
      </c>
      <c r="D77" t="inlineStr">
        <is>
          <t>قرار توضيحي 076</t>
        </is>
      </c>
      <c r="E77" s="14" t="n">
        <v>20</v>
      </c>
      <c r="G77" s="14" t="inlineStr">
        <is>
          <t>المجلس التنفيذي</t>
        </is>
      </c>
      <c r="H77" s="14" t="n">
        <v>2024</v>
      </c>
      <c r="I77" s="102" t="n">
        <v>45567</v>
      </c>
      <c r="J77" s="14" t="inlineStr">
        <is>
          <t>TEC/OUT/2024/732</t>
        </is>
      </c>
      <c r="K77" s="14" t="inlineStr">
        <is>
          <t>الأمانة العامة للمجلس التنفيذي</t>
        </is>
      </c>
      <c r="L77" s="101" t="n"/>
      <c r="M77" s="14" t="inlineStr">
        <is>
          <t>التنمية المستدامة</t>
        </is>
      </c>
      <c r="N77" s="14" t="inlineStr">
        <is>
          <t>السياسات والاستراتيجيات البيئية والبنية التحتية</t>
        </is>
      </c>
      <c r="O77" s="14" t="inlineStr">
        <is>
          <t>بريد من الوحدة التنظيمية</t>
        </is>
      </c>
      <c r="R77" s="14" t="inlineStr">
        <is>
          <t>منجز</t>
        </is>
      </c>
    </row>
    <row r="78">
      <c r="A78" s="101" t="inlineStr">
        <is>
          <t>Sustainability_Performace_Tracker.xlsx</t>
        </is>
      </c>
      <c r="C78" t="inlineStr">
        <is>
          <t>مدير توضيحي 3</t>
        </is>
      </c>
      <c r="D78" t="inlineStr">
        <is>
          <t>قرار توضيحي 077</t>
        </is>
      </c>
      <c r="G78" s="14" t="inlineStr">
        <is>
          <t>المجلس التنفيذي</t>
        </is>
      </c>
      <c r="H78" s="14" t="n">
        <v>2022</v>
      </c>
      <c r="I78" s="102" t="n">
        <v>44622</v>
      </c>
      <c r="J78" s="14" t="inlineStr">
        <is>
          <t>TEC/OUT/2022/181</t>
        </is>
      </c>
      <c r="K78" s="14" t="inlineStr">
        <is>
          <t>القيادة العامة لشرطة دبي</t>
        </is>
      </c>
      <c r="L78" s="101" t="n"/>
      <c r="M78" s="14" t="inlineStr">
        <is>
          <t>التنمية المستدامة</t>
        </is>
      </c>
      <c r="N78" s="14" t="inlineStr">
        <is>
          <t>السياسات والاستراتيجيات البيئية والبنية التحتية</t>
        </is>
      </c>
      <c r="O78" s="14" t="inlineStr">
        <is>
          <t>بريد من الوحدة التنظيمية</t>
        </is>
      </c>
      <c r="R78" s="14" t="inlineStr">
        <is>
          <t>منجز</t>
        </is>
      </c>
      <c r="T78" s="14" t="inlineStr">
        <is>
          <t>نعم</t>
        </is>
      </c>
    </row>
    <row r="79">
      <c r="A79" s="101" t="inlineStr">
        <is>
          <t>Sustainability_Performace_Tracker.xlsx</t>
        </is>
      </c>
      <c r="C79" t="inlineStr">
        <is>
          <t>مدير توضيحي 1</t>
        </is>
      </c>
      <c r="D79" t="inlineStr">
        <is>
          <t>قرار توضيحي 078</t>
        </is>
      </c>
      <c r="I79" s="102" t="n"/>
      <c r="K79" s="14" t="inlineStr">
        <is>
          <t>القيادة العامة لشرطة دبي</t>
        </is>
      </c>
      <c r="L79" s="101" t="n"/>
      <c r="M79" s="14" t="inlineStr">
        <is>
          <t>التنمية المستدامة</t>
        </is>
      </c>
      <c r="N79" s="14" t="inlineStr">
        <is>
          <t>السياسات والاستراتيجيات البيئية والبنية التحتية</t>
        </is>
      </c>
      <c r="O79" s="14" t="inlineStr">
        <is>
          <t>مغلق (لا يتطلب متابعة)</t>
        </is>
      </c>
      <c r="R79" s="14" t="inlineStr">
        <is>
          <t>منجز</t>
        </is>
      </c>
    </row>
    <row r="80">
      <c r="A80" s="101" t="inlineStr">
        <is>
          <t>Sustainability_Performace_Tracker.xlsx</t>
        </is>
      </c>
      <c r="B80" s="14" t="inlineStr">
        <is>
          <t>ضمن الخطة</t>
        </is>
      </c>
      <c r="C80" t="inlineStr">
        <is>
          <t>مدير توضيحي 2</t>
        </is>
      </c>
      <c r="D80" t="inlineStr">
        <is>
          <t>قرار توضيحي 079</t>
        </is>
      </c>
      <c r="G80" s="14" t="inlineStr">
        <is>
          <t>المجلس التنفيذي</t>
        </is>
      </c>
      <c r="H80" s="14" t="n">
        <v>2026</v>
      </c>
      <c r="I80" s="102" t="n">
        <v>46204</v>
      </c>
      <c r="J80" s="14" t="inlineStr">
        <is>
          <t>TEC/OUT/2026/653</t>
        </is>
      </c>
      <c r="K80" s="14" t="inlineStr">
        <is>
          <t>القيادة العامة لشرطة دبي</t>
        </is>
      </c>
      <c r="L80" s="101" t="n"/>
      <c r="M80" s="14" t="inlineStr">
        <is>
          <t>التنمية المستدامة</t>
        </is>
      </c>
      <c r="N80" s="14" t="inlineStr">
        <is>
          <t>السياسات والاستراتيجيات البيئية والبنية التحتية</t>
        </is>
      </c>
      <c r="O80" s="14" t="inlineStr">
        <is>
          <t>بريد من الوحدة التنظيمية</t>
        </is>
      </c>
      <c r="R80" s="14" t="inlineStr">
        <is>
          <t>قيد التطوير</t>
        </is>
      </c>
    </row>
    <row r="81">
      <c r="A81" s="101" t="inlineStr">
        <is>
          <t>Sustainability_Performace_Tracker.xlsx</t>
        </is>
      </c>
      <c r="B81" s="14" t="inlineStr">
        <is>
          <t>ضمن الخطة</t>
        </is>
      </c>
      <c r="C81" t="inlineStr">
        <is>
          <t>مدير توضيحي 3</t>
        </is>
      </c>
      <c r="D81" t="inlineStr">
        <is>
          <t>قرار توضيحي 080</t>
        </is>
      </c>
      <c r="E81" s="14" t="n">
        <v>7</v>
      </c>
      <c r="G81" s="14" t="inlineStr">
        <is>
          <t>المجلس التنفيذي</t>
        </is>
      </c>
      <c r="H81" s="14" t="n">
        <v>2025</v>
      </c>
      <c r="I81" s="102" t="n">
        <v>45729</v>
      </c>
      <c r="K81" s="14" t="inlineStr">
        <is>
          <t>دائرة الشؤون القانونية لحكومة دبي</t>
        </is>
      </c>
      <c r="L81" s="101" t="n"/>
      <c r="M81" s="14" t="inlineStr">
        <is>
          <t>التنمية المستدامة</t>
        </is>
      </c>
      <c r="N81" s="14" t="inlineStr">
        <is>
          <t>السياسات والاستراتيجيات الصحية والعدل</t>
        </is>
      </c>
      <c r="O81" s="14" t="inlineStr">
        <is>
          <t>بريد من الوحدة التنظيمية</t>
        </is>
      </c>
      <c r="R81" s="14" t="inlineStr">
        <is>
          <t>قيد التطوير</t>
        </is>
      </c>
    </row>
    <row r="82">
      <c r="A82" s="101" t="inlineStr">
        <is>
          <t>Sustainability_Performace_Tracker.xlsx</t>
        </is>
      </c>
      <c r="B82" s="14" t="inlineStr">
        <is>
          <t>ضمن الخطة</t>
        </is>
      </c>
      <c r="C82" t="inlineStr">
        <is>
          <t>مدير توضيحي 1</t>
        </is>
      </c>
      <c r="D82" t="inlineStr">
        <is>
          <t>قرار توضيحي 081</t>
        </is>
      </c>
      <c r="E82" s="14" t="n">
        <v>3</v>
      </c>
      <c r="G82" s="14" t="inlineStr">
        <is>
          <t>المجلس التنفيذي</t>
        </is>
      </c>
      <c r="H82" s="14" t="n">
        <v>2025</v>
      </c>
      <c r="I82" s="102" t="n">
        <v>45370</v>
      </c>
      <c r="K82" s="14" t="inlineStr">
        <is>
          <t>دائرة الشؤون القانونية لحكومة دبي</t>
        </is>
      </c>
      <c r="L82" s="101" t="n"/>
      <c r="M82" s="14" t="inlineStr">
        <is>
          <t>التنمية المستدامة</t>
        </is>
      </c>
      <c r="N82" s="14" t="inlineStr">
        <is>
          <t>السياسات والاستراتيجيات الصحية والعدل</t>
        </is>
      </c>
      <c r="O82" s="14" t="inlineStr">
        <is>
          <t>رسالة رسمية</t>
        </is>
      </c>
      <c r="P82" s="14" t="inlineStr">
        <is>
          <t>TEC/OUT/2026/416</t>
        </is>
      </c>
      <c r="Q82" s="14" t="n">
        <v>46164</v>
      </c>
      <c r="R82" s="14" t="inlineStr">
        <is>
          <t>قيد التطوير</t>
        </is>
      </c>
      <c r="S82" s="14" t="n">
        <v>0.6</v>
      </c>
      <c r="T82" s="14" t="inlineStr">
        <is>
          <t>نعم</t>
        </is>
      </c>
    </row>
    <row r="83">
      <c r="A83" s="101" t="inlineStr">
        <is>
          <t>Sustainability_Performace_Tracker.xlsx</t>
        </is>
      </c>
      <c r="B83" s="14" t="inlineStr">
        <is>
          <t>ضمن الخطة</t>
        </is>
      </c>
      <c r="C83" t="inlineStr">
        <is>
          <t>مدير توضيحي 2</t>
        </is>
      </c>
      <c r="D83" t="inlineStr">
        <is>
          <t>قرار توضيحي 082</t>
        </is>
      </c>
      <c r="E83" s="14" t="n">
        <v>1</v>
      </c>
      <c r="G83" s="14" t="inlineStr">
        <is>
          <t>المجلس التنفيذي</t>
        </is>
      </c>
      <c r="H83" s="14" t="n">
        <v>2024</v>
      </c>
      <c r="I83" s="102" t="n">
        <v>45370</v>
      </c>
      <c r="K83" s="14" t="inlineStr">
        <is>
          <t>اللجنة العليا للتخطيط الحضري</t>
        </is>
      </c>
      <c r="L83" s="101" t="n"/>
      <c r="M83" s="14" t="inlineStr">
        <is>
          <t>التنمية المستدامة</t>
        </is>
      </c>
      <c r="N83" s="14" t="inlineStr">
        <is>
          <t>السياسات والاستراتيجيات البيئية والبنية التحتية</t>
        </is>
      </c>
      <c r="O83" s="14" t="inlineStr">
        <is>
          <t>بريد من الوحدة التنظيمية</t>
        </is>
      </c>
      <c r="R83" s="14" t="inlineStr">
        <is>
          <t>منجز</t>
        </is>
      </c>
      <c r="T83" s="14" t="inlineStr">
        <is>
          <t>نعم</t>
        </is>
      </c>
    </row>
    <row r="84">
      <c r="A84" s="101" t="inlineStr">
        <is>
          <t>Sustainability_Performace_Tracker.xlsx</t>
        </is>
      </c>
      <c r="C84" t="inlineStr">
        <is>
          <t>مدير توضيحي 3</t>
        </is>
      </c>
      <c r="D84" t="inlineStr">
        <is>
          <t>قرار توضيحي 083</t>
        </is>
      </c>
      <c r="E84" s="14" t="n">
        <v>9</v>
      </c>
      <c r="G84" s="14" t="inlineStr">
        <is>
          <t>المجلس التنفيذي</t>
        </is>
      </c>
      <c r="H84" s="14" t="n">
        <v>2025</v>
      </c>
      <c r="I84" s="102" t="n">
        <v>45729</v>
      </c>
      <c r="K84" s="14" t="inlineStr">
        <is>
          <t>اللجنة العليا للتخطيط الحضري</t>
        </is>
      </c>
      <c r="L84" s="101" t="n"/>
      <c r="M84" s="14" t="inlineStr">
        <is>
          <t>التنمية المستدامة</t>
        </is>
      </c>
      <c r="N84" s="14" t="inlineStr">
        <is>
          <t>السياسات والاستراتيجيات البيئية والبنية التحتية</t>
        </is>
      </c>
      <c r="O84" s="14" t="inlineStr">
        <is>
          <t>مغلق (لا يتطلب متابعة)</t>
        </is>
      </c>
      <c r="R84" s="14" t="inlineStr">
        <is>
          <t>منجز</t>
        </is>
      </c>
    </row>
    <row r="85">
      <c r="A85" s="101" t="inlineStr">
        <is>
          <t>Sustainability_Performace_Tracker.xlsx</t>
        </is>
      </c>
      <c r="B85" s="14" t="inlineStr">
        <is>
          <t>ضمن الخطة</t>
        </is>
      </c>
      <c r="C85" t="inlineStr">
        <is>
          <t>مدير توضيحي 1</t>
        </is>
      </c>
      <c r="D85" t="inlineStr">
        <is>
          <t>قرار توضيحي 084</t>
        </is>
      </c>
      <c r="I85" s="102" t="n"/>
      <c r="K85" s="14" t="inlineStr">
        <is>
          <t>المجلس الأعلى للطاقة</t>
        </is>
      </c>
      <c r="L85" s="101" t="n"/>
      <c r="M85" s="14" t="inlineStr">
        <is>
          <t>التنمية المستدامة</t>
        </is>
      </c>
      <c r="N85" s="14" t="inlineStr">
        <is>
          <t>السياسات والاستراتيجيات البيئية والبنية التحتية</t>
        </is>
      </c>
      <c r="O85" s="14" t="inlineStr">
        <is>
          <t>مغلق (لا يتطلب متابعة)</t>
        </is>
      </c>
      <c r="R85" s="14" t="inlineStr">
        <is>
          <t>منجز</t>
        </is>
      </c>
    </row>
    <row r="86">
      <c r="A86" s="101" t="inlineStr">
        <is>
          <t>Sustainability_Performace_Tracker.xlsx</t>
        </is>
      </c>
      <c r="B86" s="14" t="inlineStr">
        <is>
          <t>ضمن الخطة</t>
        </is>
      </c>
      <c r="C86" t="inlineStr">
        <is>
          <t>مدير توضيحي 2</t>
        </is>
      </c>
      <c r="D86" t="inlineStr">
        <is>
          <t>قرار توضيحي 085</t>
        </is>
      </c>
      <c r="I86" s="102" t="n"/>
      <c r="K86" s="14" t="inlineStr">
        <is>
          <t>القيادة العامة لشرطة دبي</t>
        </is>
      </c>
      <c r="L86" s="101" t="n"/>
      <c r="M86" s="14" t="inlineStr">
        <is>
          <t>التنمية المستدامة</t>
        </is>
      </c>
      <c r="N86" s="14" t="inlineStr">
        <is>
          <t>السياسات والاستراتيجيات الصحية والعدل</t>
        </is>
      </c>
      <c r="O86" s="14" t="inlineStr">
        <is>
          <t>بريد من الوحدة التنظيمية</t>
        </is>
      </c>
      <c r="R86" s="14" t="inlineStr">
        <is>
          <t>قيد التطوير</t>
        </is>
      </c>
    </row>
    <row r="87">
      <c r="A87" s="101" t="inlineStr">
        <is>
          <t>Sustainability_Performace_Tracker.xlsx</t>
        </is>
      </c>
      <c r="B87" s="14" t="inlineStr">
        <is>
          <t>ضمن الخطة</t>
        </is>
      </c>
      <c r="C87" t="inlineStr">
        <is>
          <t>مدير توضيحي 3</t>
        </is>
      </c>
      <c r="D87" t="inlineStr">
        <is>
          <t>قرار توضيحي 086</t>
        </is>
      </c>
      <c r="E87" s="14" t="n">
        <v>26</v>
      </c>
      <c r="G87" s="14" t="inlineStr">
        <is>
          <t>المجلس التنفيذي</t>
        </is>
      </c>
      <c r="H87" s="14" t="n">
        <v>2024</v>
      </c>
      <c r="I87" s="102" t="n">
        <v>45625</v>
      </c>
      <c r="K87" s="14" t="inlineStr">
        <is>
          <t>النيابة العامة</t>
        </is>
      </c>
      <c r="L87" s="101" t="n"/>
      <c r="M87" s="14" t="inlineStr">
        <is>
          <t>التنمية المستدامة</t>
        </is>
      </c>
      <c r="N87" s="14" t="inlineStr">
        <is>
          <t>السياسات والاستراتيجيات البيئية والبنية التحتية</t>
        </is>
      </c>
      <c r="O87" s="14" t="inlineStr">
        <is>
          <t>مغلق (لا يتطلب متابعة)</t>
        </is>
      </c>
      <c r="R87" s="14" t="inlineStr">
        <is>
          <t>منجز</t>
        </is>
      </c>
    </row>
    <row r="88">
      <c r="A88" s="101" t="inlineStr">
        <is>
          <t>Sustainability_Performace_Tracker.xlsx</t>
        </is>
      </c>
      <c r="B88" s="14" t="inlineStr">
        <is>
          <t>ضمن الخطة</t>
        </is>
      </c>
      <c r="C88" t="inlineStr">
        <is>
          <t>مدير توضيحي 1</t>
        </is>
      </c>
      <c r="D88" t="inlineStr">
        <is>
          <t>قرار توضيحي 087</t>
        </is>
      </c>
      <c r="E88" s="14" t="n">
        <v>1</v>
      </c>
      <c r="G88" s="14" t="inlineStr">
        <is>
          <t>المجلس التنفيذي</t>
        </is>
      </c>
      <c r="H88" s="14" t="n">
        <v>2025</v>
      </c>
      <c r="I88" s="102" t="n">
        <v>45698</v>
      </c>
      <c r="K88" s="14" t="inlineStr">
        <is>
          <t>محاكم دبي</t>
        </is>
      </c>
      <c r="L88" s="101" t="n"/>
      <c r="M88" s="14" t="inlineStr">
        <is>
          <t>التنمية المستدامة</t>
        </is>
      </c>
      <c r="N88" s="14" t="inlineStr">
        <is>
          <t>السياسات والاستراتيجيات الصحية والعدل</t>
        </is>
      </c>
      <c r="O88" s="14" t="inlineStr">
        <is>
          <t>بريد من الوحدة التنظيمية</t>
        </is>
      </c>
      <c r="R88" s="14" t="inlineStr">
        <is>
          <t>قيد التطوير</t>
        </is>
      </c>
    </row>
    <row r="89">
      <c r="A89" s="101" t="inlineStr">
        <is>
          <t>Sustainability_Performace_Tracker.xlsx</t>
        </is>
      </c>
      <c r="B89" s="14" t="inlineStr">
        <is>
          <t>ضمن الخطة</t>
        </is>
      </c>
      <c r="C89" t="inlineStr">
        <is>
          <t>مدير توضيحي 2</t>
        </is>
      </c>
      <c r="D89" t="inlineStr">
        <is>
          <t>قرار توضيحي 088</t>
        </is>
      </c>
      <c r="E89" s="14" t="n">
        <v>22</v>
      </c>
      <c r="G89" s="14" t="inlineStr">
        <is>
          <t>المجلس التنفيذي</t>
        </is>
      </c>
      <c r="H89" s="14" t="n">
        <v>2025</v>
      </c>
      <c r="I89" s="102" t="n">
        <v>45967</v>
      </c>
      <c r="K89" s="14" t="inlineStr">
        <is>
          <t>محاكم دبي</t>
        </is>
      </c>
      <c r="L89" s="101" t="n"/>
      <c r="M89" s="14" t="inlineStr">
        <is>
          <t>التنمية المستدامة</t>
        </is>
      </c>
      <c r="N89" s="14" t="inlineStr">
        <is>
          <t>السياسات والاستراتيجيات الصحية والعدل</t>
        </is>
      </c>
      <c r="O89" s="14" t="inlineStr">
        <is>
          <t>بريد من الوحدة التنظيمية</t>
        </is>
      </c>
      <c r="R89" s="14" t="inlineStr">
        <is>
          <t>قيد التطوير</t>
        </is>
      </c>
    </row>
    <row r="90">
      <c r="A90" s="101" t="inlineStr">
        <is>
          <t>Sustainability_Performace_Tracker.xlsx</t>
        </is>
      </c>
      <c r="B90" s="14" t="inlineStr">
        <is>
          <t>ضمن الخطة</t>
        </is>
      </c>
      <c r="C90" t="inlineStr">
        <is>
          <t>مدير توضيحي 3</t>
        </is>
      </c>
      <c r="D90" t="inlineStr">
        <is>
          <t>قرار توضيحي 089</t>
        </is>
      </c>
      <c r="E90" s="14" t="n">
        <v>7</v>
      </c>
      <c r="G90" s="14" t="inlineStr">
        <is>
          <t>المجلس التنفيذي</t>
        </is>
      </c>
      <c r="H90" s="14" t="n">
        <v>2024</v>
      </c>
      <c r="I90" s="102" t="n">
        <v>45422</v>
      </c>
      <c r="K90" s="14" t="inlineStr">
        <is>
          <t>بلدية دبي</t>
        </is>
      </c>
      <c r="L90" s="101" t="n"/>
      <c r="M90" s="14" t="inlineStr">
        <is>
          <t>التنمية المستدامة</t>
        </is>
      </c>
      <c r="N90" s="14" t="inlineStr">
        <is>
          <t>السياسات والاستراتيجيات البيئية والبنية التحتية</t>
        </is>
      </c>
      <c r="O90" s="14" t="inlineStr">
        <is>
          <t>مغلق (لا يتطلب متابعة)</t>
        </is>
      </c>
      <c r="R90" s="14" t="inlineStr">
        <is>
          <t>منجز</t>
        </is>
      </c>
    </row>
    <row r="91">
      <c r="A91" s="101" t="inlineStr">
        <is>
          <t>Sustainability_Performace_Tracker.xlsx</t>
        </is>
      </c>
      <c r="B91" s="14" t="inlineStr">
        <is>
          <t>ضمن الخطة</t>
        </is>
      </c>
      <c r="C91" t="inlineStr">
        <is>
          <t>مدير توضيحي 1</t>
        </is>
      </c>
      <c r="D91" t="inlineStr">
        <is>
          <t>قرار توضيحي 090</t>
        </is>
      </c>
      <c r="E91" s="14" t="n">
        <v>12</v>
      </c>
      <c r="G91" s="14" t="inlineStr">
        <is>
          <t>المجلس التنفيذي</t>
        </is>
      </c>
      <c r="H91" s="14" t="n">
        <v>2024</v>
      </c>
      <c r="I91" s="102" t="n">
        <v>45475</v>
      </c>
      <c r="K91" s="14" t="inlineStr">
        <is>
          <t>بلدية دبي</t>
        </is>
      </c>
      <c r="L91" s="101" t="n"/>
      <c r="M91" s="14" t="inlineStr">
        <is>
          <t>التنمية المستدامة</t>
        </is>
      </c>
      <c r="N91" s="14" t="inlineStr">
        <is>
          <t>السياسات والاستراتيجيات البيئية والبنية التحتية</t>
        </is>
      </c>
      <c r="O91" s="14" t="inlineStr">
        <is>
          <t>مغلق (لا يتطلب متابعة)</t>
        </is>
      </c>
      <c r="R91" s="14" t="inlineStr">
        <is>
          <t>منجز</t>
        </is>
      </c>
    </row>
    <row r="92">
      <c r="A92" s="101" t="inlineStr">
        <is>
          <t>Sustainability_Performace_Tracker.xlsx</t>
        </is>
      </c>
      <c r="B92" s="14" t="inlineStr">
        <is>
          <t>ضمن الخطة</t>
        </is>
      </c>
      <c r="C92" t="inlineStr">
        <is>
          <t>مدير توضيحي 2</t>
        </is>
      </c>
      <c r="D92" t="inlineStr">
        <is>
          <t>قرار توضيحي 091</t>
        </is>
      </c>
      <c r="I92" s="102" t="n"/>
      <c r="K92" s="14" t="inlineStr">
        <is>
          <t>بلدية دبي</t>
        </is>
      </c>
      <c r="L92" s="101" t="n"/>
      <c r="M92" s="14" t="inlineStr">
        <is>
          <t>التنمية المستدامة</t>
        </is>
      </c>
      <c r="N92" s="14" t="inlineStr">
        <is>
          <t>السياسات والاستراتيجيات البيئية والبنية التحتية</t>
        </is>
      </c>
      <c r="O92" s="14" t="inlineStr">
        <is>
          <t>مغلق (لا يتطلب متابعة)</t>
        </is>
      </c>
      <c r="R92" s="14" t="inlineStr">
        <is>
          <t>منجز</t>
        </is>
      </c>
    </row>
    <row r="93">
      <c r="A93" s="101" t="inlineStr">
        <is>
          <t>Sustainability_Performace_Tracker.xlsx</t>
        </is>
      </c>
      <c r="B93" s="14" t="inlineStr">
        <is>
          <t>ضمن الخطة</t>
        </is>
      </c>
      <c r="C93" t="inlineStr">
        <is>
          <t>مدير توضيحي 3</t>
        </is>
      </c>
      <c r="D93" t="inlineStr">
        <is>
          <t>قرار توضيحي 092</t>
        </is>
      </c>
      <c r="I93" s="102" t="n"/>
      <c r="K93" s="14" t="inlineStr">
        <is>
          <t>بلدية دبي</t>
        </is>
      </c>
      <c r="L93" s="101" t="n"/>
      <c r="M93" s="14" t="inlineStr">
        <is>
          <t>التنمية المستدامة</t>
        </is>
      </c>
      <c r="N93" s="14" t="inlineStr">
        <is>
          <t>السياسات والاستراتيجيات البيئية والبنية التحتية</t>
        </is>
      </c>
      <c r="O93" s="14" t="inlineStr">
        <is>
          <t>بريد من الوحدة التنظيمية</t>
        </is>
      </c>
      <c r="R93" s="14" t="inlineStr">
        <is>
          <t>منجز</t>
        </is>
      </c>
      <c r="T93" s="14" t="inlineStr">
        <is>
          <t>نعم</t>
        </is>
      </c>
    </row>
    <row r="94">
      <c r="A94" s="101" t="inlineStr">
        <is>
          <t>Sustainability_Performace_Tracker.xlsx</t>
        </is>
      </c>
      <c r="B94" s="14" t="inlineStr">
        <is>
          <t>ضمن الخطة</t>
        </is>
      </c>
      <c r="C94" t="inlineStr">
        <is>
          <t>مدير توضيحي 1</t>
        </is>
      </c>
      <c r="D94" t="inlineStr">
        <is>
          <t>قرار توضيحي 093</t>
        </is>
      </c>
      <c r="E94" s="14" t="n">
        <v>28</v>
      </c>
      <c r="G94" s="14" t="inlineStr">
        <is>
          <t>المجلس التنفيذي</t>
        </is>
      </c>
      <c r="H94" s="14" t="n">
        <v>2025</v>
      </c>
      <c r="I94" s="102" t="n">
        <v>45999</v>
      </c>
      <c r="K94" s="14" t="inlineStr">
        <is>
          <t>بلدية دبي</t>
        </is>
      </c>
      <c r="L94" s="101" t="n"/>
      <c r="M94" s="14" t="inlineStr">
        <is>
          <t>التنمية المستدامة</t>
        </is>
      </c>
      <c r="N94" s="14" t="inlineStr">
        <is>
          <t>السياسات والاستراتيجيات البيئية والبنية التحتية</t>
        </is>
      </c>
      <c r="O94" s="14" t="inlineStr">
        <is>
          <t>مغلق (لا يتطلب متابعة)</t>
        </is>
      </c>
      <c r="R94" s="14" t="inlineStr">
        <is>
          <t>منجز</t>
        </is>
      </c>
    </row>
    <row r="95">
      <c r="A95" s="101" t="inlineStr">
        <is>
          <t>Sustainability_Performace_Tracker.xlsx</t>
        </is>
      </c>
      <c r="B95" s="14" t="inlineStr">
        <is>
          <t>ضمن الخطة</t>
        </is>
      </c>
      <c r="C95" t="inlineStr">
        <is>
          <t>مدير توضيحي 2</t>
        </is>
      </c>
      <c r="D95" t="inlineStr">
        <is>
          <t>قرار توضيحي 094</t>
        </is>
      </c>
      <c r="I95" s="102" t="n"/>
      <c r="K95" s="14" t="inlineStr">
        <is>
          <t>محاكم دبي</t>
        </is>
      </c>
      <c r="L95" s="101" t="n"/>
      <c r="M95" s="14" t="inlineStr">
        <is>
          <t>التنمية المستدامة</t>
        </is>
      </c>
      <c r="N95" s="14" t="inlineStr">
        <is>
          <t>السياسات والاستراتيجيات الصحية والعدل</t>
        </is>
      </c>
      <c r="O95" s="14" t="inlineStr">
        <is>
          <t>بريد من الوحدة التنظيمية</t>
        </is>
      </c>
      <c r="R95" s="14" t="inlineStr">
        <is>
          <t>منجز</t>
        </is>
      </c>
    </row>
    <row r="96">
      <c r="A96" s="101" t="inlineStr">
        <is>
          <t>Sustainability_Performace_Tracker.xlsx</t>
        </is>
      </c>
      <c r="B96" s="14" t="inlineStr">
        <is>
          <t>ضمن الخطة</t>
        </is>
      </c>
      <c r="C96" t="inlineStr">
        <is>
          <t>مدير توضيحي 3</t>
        </is>
      </c>
      <c r="D96" t="inlineStr">
        <is>
          <t>قرار توضيحي 095</t>
        </is>
      </c>
      <c r="I96" s="102" t="n"/>
      <c r="K96" s="14" t="inlineStr">
        <is>
          <t>بلدية دبي</t>
        </is>
      </c>
      <c r="L96" s="101" t="n"/>
      <c r="M96" s="14" t="inlineStr">
        <is>
          <t>التنمية المستدامة</t>
        </is>
      </c>
      <c r="N96" s="14" t="inlineStr">
        <is>
          <t>السياسات والاستراتيجيات الصحية والعدل</t>
        </is>
      </c>
      <c r="O96" s="14" t="inlineStr">
        <is>
          <t>مغلق (لا يتطلب متابعة)</t>
        </is>
      </c>
      <c r="R96" s="14" t="inlineStr">
        <is>
          <t>منجز</t>
        </is>
      </c>
    </row>
    <row r="97">
      <c r="A97" s="101" t="inlineStr">
        <is>
          <t>Sustainability_Performace_Tracker.xlsx</t>
        </is>
      </c>
      <c r="B97" s="14" t="inlineStr">
        <is>
          <t>ضمن الخطة</t>
        </is>
      </c>
      <c r="C97" t="inlineStr">
        <is>
          <t>مدير توضيحي 1</t>
        </is>
      </c>
      <c r="D97" t="inlineStr">
        <is>
          <t>قرار توضيحي 096</t>
        </is>
      </c>
      <c r="I97" s="102" t="n"/>
      <c r="K97" s="14" t="inlineStr">
        <is>
          <t>هيئة الصحة بدبي</t>
        </is>
      </c>
      <c r="L97" s="101" t="n"/>
      <c r="M97" s="14" t="inlineStr">
        <is>
          <t>التنمية المستدامة</t>
        </is>
      </c>
      <c r="N97" s="14" t="inlineStr">
        <is>
          <t>السياسات والاستراتيجيات الصحية والعدل</t>
        </is>
      </c>
      <c r="O97" s="14" t="inlineStr">
        <is>
          <t>بريد من الوحدة التنظيمية</t>
        </is>
      </c>
      <c r="R97" s="14" t="inlineStr">
        <is>
          <t>قيد التطوير</t>
        </is>
      </c>
    </row>
    <row r="98">
      <c r="A98" s="101" t="inlineStr">
        <is>
          <t>Sustainability_Performace_Tracker.xlsx</t>
        </is>
      </c>
      <c r="B98" s="14" t="inlineStr">
        <is>
          <t>ضمن الخطة</t>
        </is>
      </c>
      <c r="C98" t="inlineStr">
        <is>
          <t>مدير توضيحي 2</t>
        </is>
      </c>
      <c r="D98" t="inlineStr">
        <is>
          <t>قرار توضيحي 097</t>
        </is>
      </c>
      <c r="I98" s="102" t="n"/>
      <c r="K98" s="14" t="inlineStr">
        <is>
          <t>هيئة الصحة بدبي</t>
        </is>
      </c>
      <c r="L98" s="101" t="n"/>
      <c r="M98" s="14" t="inlineStr">
        <is>
          <t>التنمية المستدامة</t>
        </is>
      </c>
      <c r="N98" s="14" t="inlineStr">
        <is>
          <t>السياسات والاستراتيجيات الصحية والعدل</t>
        </is>
      </c>
      <c r="O98" s="14" t="inlineStr">
        <is>
          <t>بريد من الوحدة التنظيمية</t>
        </is>
      </c>
      <c r="R98" s="14" t="inlineStr">
        <is>
          <t>قيد التطوير</t>
        </is>
      </c>
      <c r="T98" s="14" t="inlineStr">
        <is>
          <t>نعم</t>
        </is>
      </c>
    </row>
    <row r="99">
      <c r="A99" s="101" t="inlineStr">
        <is>
          <t>Sustainability_Performace_Tracker.xlsx</t>
        </is>
      </c>
      <c r="C99" t="inlineStr">
        <is>
          <t>مدير توضيحي 3</t>
        </is>
      </c>
      <c r="D99" t="inlineStr">
        <is>
          <t>قرار توضيحي 098</t>
        </is>
      </c>
      <c r="E99" s="14" t="n">
        <v>15</v>
      </c>
      <c r="G99" s="14" t="inlineStr">
        <is>
          <t>المجلس التنفيذي</t>
        </is>
      </c>
      <c r="H99" s="14" t="n">
        <v>2025</v>
      </c>
      <c r="I99" s="102" t="n">
        <v>45789</v>
      </c>
      <c r="K99" s="14" t="inlineStr">
        <is>
          <t>هيئة الصحة بدبي</t>
        </is>
      </c>
      <c r="L99" s="101" t="n"/>
      <c r="M99" s="14" t="inlineStr">
        <is>
          <t>التنمية المستدامة</t>
        </is>
      </c>
      <c r="N99" s="14" t="inlineStr">
        <is>
          <t>السياسات والاستراتيجيات البيئية والبنية التحتية</t>
        </is>
      </c>
      <c r="O99" s="14" t="inlineStr">
        <is>
          <t>بريد من الوحدة التنظيمية</t>
        </is>
      </c>
      <c r="R99" s="14" t="inlineStr">
        <is>
          <t>قيد التطوير</t>
        </is>
      </c>
      <c r="T99" s="14" t="inlineStr">
        <is>
          <t>نعم</t>
        </is>
      </c>
    </row>
    <row r="100">
      <c r="A100" s="101" t="inlineStr">
        <is>
          <t>Sustainability_Performace_Tracker.xlsx</t>
        </is>
      </c>
      <c r="B100" s="14" t="inlineStr">
        <is>
          <t>ضمن الخطة</t>
        </is>
      </c>
      <c r="C100" t="inlineStr">
        <is>
          <t>مدير توضيحي 1</t>
        </is>
      </c>
      <c r="D100" t="inlineStr">
        <is>
          <t>قرار توضيحي 099</t>
        </is>
      </c>
      <c r="E100" s="14" t="n">
        <v>7</v>
      </c>
      <c r="G100" s="14" t="inlineStr">
        <is>
          <t>المجلس التنفيذي</t>
        </is>
      </c>
      <c r="H100" s="14" t="n">
        <v>2026</v>
      </c>
      <c r="I100" s="102" t="n">
        <v>46202</v>
      </c>
      <c r="J100" s="14" t="inlineStr">
        <is>
          <t>TEC/OUT/2026/631</t>
        </is>
      </c>
      <c r="K100" s="14" t="inlineStr">
        <is>
          <t>المجلس الأعلى للطاقة</t>
        </is>
      </c>
      <c r="L100" s="101" t="n"/>
      <c r="M100" s="14" t="inlineStr">
        <is>
          <t>التنمية المستدامة</t>
        </is>
      </c>
      <c r="N100" s="14" t="inlineStr">
        <is>
          <t>السياسات والاستراتيجيات البيئية والبنية التحتية</t>
        </is>
      </c>
      <c r="R100" s="14" t="inlineStr">
        <is>
          <t>قيد التطوير</t>
        </is>
      </c>
      <c r="T100" s="14" t="inlineStr">
        <is>
          <t>لا</t>
        </is>
      </c>
    </row>
    <row r="101">
      <c r="A101" s="101" t="inlineStr">
        <is>
          <t>Sustainability_Performace_Tracker.xlsx</t>
        </is>
      </c>
      <c r="B101" s="14" t="inlineStr">
        <is>
          <t>ضمن الخطة</t>
        </is>
      </c>
      <c r="C101" t="inlineStr">
        <is>
          <t>مدير توضيحي 2</t>
        </is>
      </c>
      <c r="D101" t="inlineStr">
        <is>
          <t>قرار توضيحي 100</t>
        </is>
      </c>
      <c r="E101" s="14" t="n">
        <v>3</v>
      </c>
      <c r="G101" s="14" t="inlineStr">
        <is>
          <t>المجلس التنفيذي</t>
        </is>
      </c>
      <c r="H101" s="14" t="n">
        <v>2026</v>
      </c>
      <c r="I101" s="102" t="n">
        <v>46111</v>
      </c>
      <c r="J101" s="14" t="inlineStr">
        <is>
          <t>TEC/OUT/2026/326</t>
        </is>
      </c>
      <c r="K101" s="14" t="inlineStr">
        <is>
          <t>بلدية دبي</t>
        </is>
      </c>
      <c r="L101" s="101" t="n"/>
      <c r="M101" s="14" t="inlineStr">
        <is>
          <t>التنمية المستدامة</t>
        </is>
      </c>
      <c r="N101" s="14" t="inlineStr">
        <is>
          <t>السياسات والاستراتيجيات البيئية والبنية التحتية</t>
        </is>
      </c>
      <c r="O101" s="14" t="inlineStr">
        <is>
          <t>بريد من الوحدة التنظيمية</t>
        </is>
      </c>
      <c r="R101" s="14" t="inlineStr">
        <is>
          <t>قيد التطوير</t>
        </is>
      </c>
      <c r="T101" s="14" t="inlineStr">
        <is>
          <t>لا</t>
        </is>
      </c>
    </row>
    <row r="102">
      <c r="A102" s="101" t="inlineStr">
        <is>
          <t>Sustainability_Performace_Tracker.xlsx</t>
        </is>
      </c>
      <c r="B102" s="14" t="inlineStr">
        <is>
          <t>ضمن الخطة</t>
        </is>
      </c>
      <c r="C102" t="inlineStr">
        <is>
          <t>مدير توضيحي 3</t>
        </is>
      </c>
      <c r="D102" t="inlineStr">
        <is>
          <t>قرار توضيحي 101</t>
        </is>
      </c>
      <c r="G102" s="14" t="inlineStr">
        <is>
          <t>مجلس الشؤون الاستراتيجية</t>
        </is>
      </c>
      <c r="H102" s="14" t="n">
        <v>2025</v>
      </c>
      <c r="I102" s="102" t="n">
        <v>45986</v>
      </c>
      <c r="K102" s="14" t="inlineStr">
        <is>
          <t>اللجنة العليا للتخطيط الحضري</t>
        </is>
      </c>
      <c r="L102" s="101" t="n"/>
      <c r="M102" s="14" t="inlineStr">
        <is>
          <t>التنمية المستدامة</t>
        </is>
      </c>
      <c r="N102" s="14" t="inlineStr">
        <is>
          <t>السياسات والاستراتيجيات البيئية والبنية التحتية</t>
        </is>
      </c>
      <c r="O102" s="14" t="inlineStr">
        <is>
          <t>بريد من الوحدة التنظيمية</t>
        </is>
      </c>
      <c r="R102" s="14" t="inlineStr">
        <is>
          <t>قيد التطوير</t>
        </is>
      </c>
      <c r="T102" s="14" t="inlineStr">
        <is>
          <t>نعم</t>
        </is>
      </c>
    </row>
    <row r="103">
      <c r="A103" s="101" t="inlineStr">
        <is>
          <t>Sustainability_Performace_Tracker.xlsx</t>
        </is>
      </c>
      <c r="C103" t="inlineStr">
        <is>
          <t>مدير توضيحي 1</t>
        </is>
      </c>
      <c r="D103" t="inlineStr">
        <is>
          <t>قرار توضيحي 102</t>
        </is>
      </c>
      <c r="I103" s="102" t="n"/>
      <c r="K103" s="14" t="inlineStr">
        <is>
          <t>محاكم دبي</t>
        </is>
      </c>
      <c r="L103" s="101" t="n"/>
      <c r="M103" s="14" t="inlineStr">
        <is>
          <t>التنمية المستدامة</t>
        </is>
      </c>
      <c r="N103" s="14" t="inlineStr">
        <is>
          <t>السياسات والاستراتيجيات الصحية والعدل</t>
        </is>
      </c>
      <c r="O103" s="14" t="inlineStr">
        <is>
          <t>بريد من الوحدة التنظيمية</t>
        </is>
      </c>
      <c r="R103" s="14" t="inlineStr">
        <is>
          <t>منجز</t>
        </is>
      </c>
    </row>
    <row r="104">
      <c r="A104" s="101" t="inlineStr">
        <is>
          <t>Sustainability_Performace_Tracker.xlsx</t>
        </is>
      </c>
      <c r="B104" s="14" t="inlineStr">
        <is>
          <t>ضمن الخطة</t>
        </is>
      </c>
      <c r="C104" t="inlineStr">
        <is>
          <t>مدير توضيحي 2</t>
        </is>
      </c>
      <c r="D104" t="inlineStr">
        <is>
          <t>قرار توضيحي 103</t>
        </is>
      </c>
      <c r="E104" s="14" t="n">
        <v>25</v>
      </c>
      <c r="G104" s="14" t="inlineStr">
        <is>
          <t>المجلس التنفيذي</t>
        </is>
      </c>
      <c r="H104" s="14" t="n">
        <v>2025</v>
      </c>
      <c r="I104" s="102" t="n">
        <v>45962</v>
      </c>
      <c r="K104" s="14" t="inlineStr">
        <is>
          <t>بلدية دبي</t>
        </is>
      </c>
      <c r="L104" s="101" t="n"/>
      <c r="M104" s="14" t="inlineStr">
        <is>
          <t>التنمية المستدامة</t>
        </is>
      </c>
      <c r="N104" s="14" t="inlineStr">
        <is>
          <t>السياسات والاستراتيجيات البيئية والبنية التحتية</t>
        </is>
      </c>
      <c r="O104" s="14" t="inlineStr">
        <is>
          <t>رسالة رسمية</t>
        </is>
      </c>
      <c r="P104" s="14" t="inlineStr">
        <is>
          <t>TEC/OUT/2026/413</t>
        </is>
      </c>
      <c r="Q104" s="14" t="n">
        <v>46178</v>
      </c>
      <c r="R104" s="14" t="inlineStr">
        <is>
          <t>قيد التطوير</t>
        </is>
      </c>
      <c r="S104" s="14" t="n">
        <v>0.1</v>
      </c>
      <c r="T104" s="14" t="inlineStr">
        <is>
          <t>نعم</t>
        </is>
      </c>
    </row>
    <row r="105">
      <c r="A105" s="101" t="inlineStr">
        <is>
          <t>Sustainability_Performace_Tracker.xlsx</t>
        </is>
      </c>
      <c r="C105" t="inlineStr">
        <is>
          <t>مدير توضيحي 3</t>
        </is>
      </c>
      <c r="D105" t="inlineStr">
        <is>
          <t>قرار توضيحي 104</t>
        </is>
      </c>
      <c r="I105" s="102" t="n"/>
      <c r="K105" s="14" t="inlineStr">
        <is>
          <t>محاكم دبي</t>
        </is>
      </c>
      <c r="L105" s="101" t="n"/>
      <c r="M105" s="14" t="inlineStr">
        <is>
          <t>التنمية المستدامة</t>
        </is>
      </c>
      <c r="N105" s="14" t="inlineStr">
        <is>
          <t>السياسات والاستراتيجيات الصحية والعدل</t>
        </is>
      </c>
      <c r="O105" s="14" t="inlineStr">
        <is>
          <t>مغلق (لا يتطلب متابعة)</t>
        </is>
      </c>
      <c r="R105" s="14" t="inlineStr">
        <is>
          <t>منجز</t>
        </is>
      </c>
    </row>
    <row r="106">
      <c r="A106" s="101" t="inlineStr">
        <is>
          <t>Sustainability_Performace_Tracker.xlsx</t>
        </is>
      </c>
      <c r="C106" t="inlineStr">
        <is>
          <t>مدير توضيحي 1</t>
        </is>
      </c>
      <c r="D106" t="inlineStr">
        <is>
          <t>قرار توضيحي 105</t>
        </is>
      </c>
      <c r="I106" s="102" t="n"/>
      <c r="K106" s="14" t="inlineStr">
        <is>
          <t>بلدية دبي</t>
        </is>
      </c>
      <c r="L106" s="101" t="n"/>
      <c r="M106" s="14" t="inlineStr">
        <is>
          <t>التنمية المستدامة</t>
        </is>
      </c>
      <c r="N106" s="14" t="inlineStr">
        <is>
          <t>السياسات والاستراتيجيات البيئية والبنية التحتية</t>
        </is>
      </c>
      <c r="O106" s="14" t="inlineStr">
        <is>
          <t>رسالة رسمية</t>
        </is>
      </c>
      <c r="P106" s="14" t="inlineStr">
        <is>
          <t>TEC/OUT/2026/413</t>
        </is>
      </c>
      <c r="Q106" s="14" t="n">
        <v>46178</v>
      </c>
      <c r="R106" s="14" t="inlineStr">
        <is>
          <t>قيد التطوير</t>
        </is>
      </c>
      <c r="S106" s="14" t="n">
        <v>0.1</v>
      </c>
      <c r="T106" s="14" t="inlineStr">
        <is>
          <t>نعم</t>
        </is>
      </c>
    </row>
    <row r="107">
      <c r="A107" s="101" t="inlineStr">
        <is>
          <t>Sustainability_Performace_Tracker.xlsx</t>
        </is>
      </c>
      <c r="C107" t="inlineStr">
        <is>
          <t>مدير توضيحي 2</t>
        </is>
      </c>
      <c r="D107" t="inlineStr">
        <is>
          <t>قرار توضيحي 106</t>
        </is>
      </c>
      <c r="I107" s="102" t="n"/>
      <c r="K107" s="14" t="inlineStr">
        <is>
          <t>محاكم دبي</t>
        </is>
      </c>
      <c r="L107" s="101" t="n"/>
      <c r="M107" s="14" t="inlineStr">
        <is>
          <t>التنمية المستدامة</t>
        </is>
      </c>
      <c r="N107" s="14" t="inlineStr">
        <is>
          <t>السياسات والاستراتيجيات الصحية والعدل</t>
        </is>
      </c>
      <c r="O107" s="14" t="inlineStr">
        <is>
          <t>مغلق (لا يتطلب متابعة)</t>
        </is>
      </c>
      <c r="R107" s="14" t="inlineStr">
        <is>
          <t>منجز</t>
        </is>
      </c>
    </row>
    <row r="108">
      <c r="A108" s="101" t="inlineStr">
        <is>
          <t>Sustainability_Performace_Tracker.xlsx</t>
        </is>
      </c>
      <c r="B108" s="14" t="inlineStr">
        <is>
          <t>ضمن الخطة</t>
        </is>
      </c>
      <c r="C108" t="inlineStr">
        <is>
          <t>مدير توضيحي 3</t>
        </is>
      </c>
      <c r="D108" t="inlineStr">
        <is>
          <t>قرار توضيحي 107</t>
        </is>
      </c>
      <c r="E108" s="14" t="n">
        <v>11</v>
      </c>
      <c r="G108" s="14" t="inlineStr">
        <is>
          <t>المجلس التنفيذي</t>
        </is>
      </c>
      <c r="H108" s="14" t="n">
        <v>2025</v>
      </c>
      <c r="I108" s="102" t="n">
        <v>45794</v>
      </c>
      <c r="K108" s="14" t="inlineStr">
        <is>
          <t>بلدية دبي</t>
        </is>
      </c>
      <c r="L108" s="101" t="n"/>
      <c r="M108" s="14" t="inlineStr">
        <is>
          <t>التنمية المستدامة</t>
        </is>
      </c>
      <c r="N108" s="14" t="inlineStr">
        <is>
          <t>السياسات والاستراتيجيات البيئية والبنية التحتية</t>
        </is>
      </c>
      <c r="O108" s="14" t="inlineStr">
        <is>
          <t>مغلق (لا يتطلب متابعة)</t>
        </is>
      </c>
      <c r="P108" s="14" t="inlineStr">
        <is>
          <t>TEC/OUT/2026/413</t>
        </is>
      </c>
      <c r="Q108" s="14" t="n">
        <v>46178</v>
      </c>
      <c r="R108" s="14" t="inlineStr">
        <is>
          <t>قيد التطوير</t>
        </is>
      </c>
      <c r="S108" s="14" t="n">
        <v>0.7</v>
      </c>
      <c r="T108" s="14" t="inlineStr">
        <is>
          <t>نعم</t>
        </is>
      </c>
    </row>
    <row r="109">
      <c r="A109" s="101" t="inlineStr">
        <is>
          <t>Sustainability_Performace_Tracker.xlsx</t>
        </is>
      </c>
      <c r="C109" t="inlineStr">
        <is>
          <t>مدير توضيحي 1</t>
        </is>
      </c>
      <c r="D109" t="inlineStr">
        <is>
          <t>قرار توضيحي 108</t>
        </is>
      </c>
      <c r="I109" s="102" t="n"/>
      <c r="K109" s="14" t="inlineStr">
        <is>
          <t>مركز إرادة للعلاج والتأهيل في دبي</t>
        </is>
      </c>
      <c r="L109" s="101" t="n"/>
      <c r="M109" s="14" t="inlineStr">
        <is>
          <t>التنمية المستدامة</t>
        </is>
      </c>
      <c r="N109" s="14" t="inlineStr">
        <is>
          <t>السياسات والاستراتيجيات الصحية والعدل</t>
        </is>
      </c>
      <c r="O109" s="14" t="inlineStr">
        <is>
          <t>مغلق (لا يتطلب متابعة)</t>
        </is>
      </c>
      <c r="R109" s="14" t="inlineStr">
        <is>
          <t>منجز</t>
        </is>
      </c>
    </row>
    <row r="110">
      <c r="A110" s="101" t="inlineStr">
        <is>
          <t>Sustainability_Performace_Tracker.xlsx</t>
        </is>
      </c>
      <c r="B110" s="14" t="inlineStr">
        <is>
          <t>ضمن الخطة</t>
        </is>
      </c>
      <c r="C110" t="inlineStr">
        <is>
          <t>مدير توضيحي 2</t>
        </is>
      </c>
      <c r="D110" t="inlineStr">
        <is>
          <t>قرار توضيحي 109</t>
        </is>
      </c>
      <c r="I110" s="102" t="n"/>
      <c r="K110" s="14" t="inlineStr">
        <is>
          <t>مؤسسة دبي الصحية</t>
        </is>
      </c>
      <c r="L110" s="101" t="n"/>
      <c r="M110" s="14" t="inlineStr">
        <is>
          <t>التنمية المستدامة</t>
        </is>
      </c>
      <c r="N110" s="14" t="inlineStr">
        <is>
          <t>السياسات والاستراتيجيات الصحية والعدل</t>
        </is>
      </c>
      <c r="O110" s="14" t="inlineStr">
        <is>
          <t>مغلق (لا يتطلب متابعة)</t>
        </is>
      </c>
      <c r="R110" s="14" t="inlineStr">
        <is>
          <t>منجز</t>
        </is>
      </c>
    </row>
    <row r="111">
      <c r="A111" s="101" t="inlineStr">
        <is>
          <t>Sustainability_Performace_Tracker.xlsx</t>
        </is>
      </c>
      <c r="C111" t="inlineStr">
        <is>
          <t>مدير توضيحي 3</t>
        </is>
      </c>
      <c r="D111" t="inlineStr">
        <is>
          <t>قرار توضيحي 110</t>
        </is>
      </c>
      <c r="I111" s="102" t="n"/>
      <c r="K111" s="14" t="inlineStr">
        <is>
          <t>مؤسسة دبي الصحية</t>
        </is>
      </c>
      <c r="L111" s="101" t="n"/>
      <c r="M111" s="14" t="inlineStr">
        <is>
          <t>التنمية المستدامة</t>
        </is>
      </c>
      <c r="N111" s="14" t="inlineStr">
        <is>
          <t>السياسات والاستراتيجيات الصحية والعدل</t>
        </is>
      </c>
      <c r="O111" s="14" t="inlineStr">
        <is>
          <t>مغلق (لا يتطلب متابعة)</t>
        </is>
      </c>
      <c r="R111" s="14" t="inlineStr">
        <is>
          <t>منجز</t>
        </is>
      </c>
    </row>
    <row r="112">
      <c r="A112" s="101" t="inlineStr">
        <is>
          <t>Sustainability_Performace_Tracker.xlsx</t>
        </is>
      </c>
      <c r="B112" s="14" t="inlineStr">
        <is>
          <t>ضمن الخطة</t>
        </is>
      </c>
      <c r="C112" t="inlineStr">
        <is>
          <t>مدير توضيحي 1</t>
        </is>
      </c>
      <c r="D112" t="inlineStr">
        <is>
          <t>قرار توضيحي 111</t>
        </is>
      </c>
      <c r="I112" s="102" t="n"/>
      <c r="K112" s="14" t="inlineStr">
        <is>
          <t>بلدية دبي</t>
        </is>
      </c>
      <c r="L112" s="101" t="n"/>
      <c r="M112" s="14" t="inlineStr">
        <is>
          <t>التنمية المستدامة</t>
        </is>
      </c>
      <c r="N112" s="14" t="inlineStr">
        <is>
          <t>السياسات والاستراتيجيات البيئية والبنية التحتية</t>
        </is>
      </c>
      <c r="O112" s="14" t="inlineStr">
        <is>
          <t>رسالة رسمية</t>
        </is>
      </c>
      <c r="P112" s="14" t="inlineStr">
        <is>
          <t>TEC/OUT/2026/413</t>
        </is>
      </c>
      <c r="Q112" s="14" t="n">
        <v>46178</v>
      </c>
      <c r="R112" s="14" t="inlineStr">
        <is>
          <t>قيد التطوير</t>
        </is>
      </c>
      <c r="S112" s="14" t="n">
        <v>0.2</v>
      </c>
      <c r="T112" s="14" t="inlineStr">
        <is>
          <t>نعم</t>
        </is>
      </c>
    </row>
    <row r="113">
      <c r="A113" s="101" t="inlineStr">
        <is>
          <t>Sustainability_Performace_Tracker.xlsx</t>
        </is>
      </c>
      <c r="B113" s="14" t="inlineStr">
        <is>
          <t>ضمن الخطة</t>
        </is>
      </c>
      <c r="C113" t="inlineStr">
        <is>
          <t>مدير توضيحي 2</t>
        </is>
      </c>
      <c r="D113" t="inlineStr">
        <is>
          <t>قرار توضيحي 112</t>
        </is>
      </c>
      <c r="E113" s="14" t="n">
        <v>3</v>
      </c>
      <c r="G113" s="14" t="inlineStr">
        <is>
          <t>المجلس التنفيذي</t>
        </is>
      </c>
      <c r="H113" s="14" t="n">
        <v>2025</v>
      </c>
      <c r="I113" s="102" t="n">
        <v>45698</v>
      </c>
      <c r="K113" s="14" t="inlineStr">
        <is>
          <t>دائرة الأراضي والأملاك</t>
        </is>
      </c>
      <c r="L113" s="101" t="n"/>
      <c r="M113" s="14" t="inlineStr">
        <is>
          <t>التنمية المستدامة</t>
        </is>
      </c>
      <c r="N113" s="14" t="inlineStr">
        <is>
          <t>السياسات والاستراتيجيات البيئية والبنية التحتية</t>
        </is>
      </c>
      <c r="O113" s="14" t="inlineStr">
        <is>
          <t>رسالة رسمية</t>
        </is>
      </c>
      <c r="P113" s="14" t="inlineStr">
        <is>
          <t>TEC/OUT/2026/414</t>
        </is>
      </c>
      <c r="Q113" s="14" t="n">
        <v>46163</v>
      </c>
      <c r="R113" s="14" t="inlineStr">
        <is>
          <t>قيد المراجعة</t>
        </is>
      </c>
      <c r="S113" s="14" t="n">
        <v>1</v>
      </c>
      <c r="T113" s="14" t="inlineStr">
        <is>
          <t>نعم</t>
        </is>
      </c>
    </row>
    <row r="114">
      <c r="A114" s="101" t="inlineStr">
        <is>
          <t>Sustainability_Performace_Tracker.xlsx</t>
        </is>
      </c>
      <c r="B114" s="14" t="inlineStr">
        <is>
          <t>ضمن الخطة</t>
        </is>
      </c>
      <c r="C114" t="inlineStr">
        <is>
          <t>مدير توضيحي 3</t>
        </is>
      </c>
      <c r="D114" t="inlineStr">
        <is>
          <t>قرار توضيحي 113</t>
        </is>
      </c>
      <c r="I114" s="102" t="n"/>
      <c r="K114" s="14" t="inlineStr">
        <is>
          <t>هيئة الصحة بدبي</t>
        </is>
      </c>
      <c r="L114" s="101" t="n"/>
      <c r="M114" s="14" t="inlineStr">
        <is>
          <t>التنمية المستدامة</t>
        </is>
      </c>
      <c r="N114" s="14" t="inlineStr">
        <is>
          <t>السياسات والاستراتيجيات الصحية والعدل</t>
        </is>
      </c>
      <c r="O114" s="14" t="inlineStr">
        <is>
          <t>بريد من الوحدة التنظيمية</t>
        </is>
      </c>
      <c r="R114" s="14" t="inlineStr">
        <is>
          <t>منجز</t>
        </is>
      </c>
    </row>
    <row r="115">
      <c r="A115" s="101" t="inlineStr">
        <is>
          <t>Sustainability_Performace_Tracker.xlsx</t>
        </is>
      </c>
      <c r="B115" s="14" t="inlineStr">
        <is>
          <t>ضمن الخطة</t>
        </is>
      </c>
      <c r="C115" t="inlineStr">
        <is>
          <t>مدير توضيحي 1</t>
        </is>
      </c>
      <c r="D115" t="inlineStr">
        <is>
          <t>قرار توضيحي 114</t>
        </is>
      </c>
      <c r="I115" s="102" t="n"/>
      <c r="K115" s="14" t="inlineStr">
        <is>
          <t>هيئة الصحة بدبي</t>
        </is>
      </c>
      <c r="L115" s="101" t="n"/>
      <c r="M115" s="14" t="inlineStr">
        <is>
          <t>التنمية المستدامة</t>
        </is>
      </c>
      <c r="N115" s="14" t="inlineStr">
        <is>
          <t>السياسات والاستراتيجيات البيئية والبنية التحتية</t>
        </is>
      </c>
      <c r="O115" s="14" t="inlineStr">
        <is>
          <t>مغلق (لا يتطلب متابعة)</t>
        </is>
      </c>
      <c r="R115" s="14" t="inlineStr">
        <is>
          <t>منجز</t>
        </is>
      </c>
    </row>
    <row r="116">
      <c r="A116" s="101" t="inlineStr">
        <is>
          <t>Sustainability_Performace_Tracker.xlsx</t>
        </is>
      </c>
      <c r="B116" s="14" t="inlineStr">
        <is>
          <t>ضمن الخطة</t>
        </is>
      </c>
      <c r="C116" t="inlineStr">
        <is>
          <t>مدير توضيحي 2</t>
        </is>
      </c>
      <c r="D116" t="inlineStr">
        <is>
          <t>قرار توضيحي 115</t>
        </is>
      </c>
      <c r="E116" s="14" t="n">
        <v>27</v>
      </c>
      <c r="G116" s="14" t="inlineStr">
        <is>
          <t>المجلس التنفيذي</t>
        </is>
      </c>
      <c r="H116" s="14" t="n">
        <v>2025</v>
      </c>
      <c r="I116" s="102" t="n">
        <v>45967</v>
      </c>
      <c r="K116" s="14" t="inlineStr">
        <is>
          <t>هيئة الصحة بدبي</t>
        </is>
      </c>
      <c r="L116" s="101" t="n"/>
      <c r="M116" s="14" t="inlineStr">
        <is>
          <t>التنمية المستدامة</t>
        </is>
      </c>
      <c r="N116" s="14" t="inlineStr">
        <is>
          <t>السياسات والاستراتيجيات البيئية والبنية التحتية</t>
        </is>
      </c>
      <c r="O116" s="14" t="inlineStr">
        <is>
          <t>رسالة رسمية</t>
        </is>
      </c>
      <c r="P116" s="14" t="inlineStr">
        <is>
          <t>TEC/OUT/2026/419</t>
        </is>
      </c>
      <c r="R116" s="14" t="inlineStr">
        <is>
          <t>منجز</t>
        </is>
      </c>
    </row>
    <row r="117">
      <c r="A117" s="101" t="inlineStr">
        <is>
          <t>Sustainability_Performace_Tracker.xlsx</t>
        </is>
      </c>
      <c r="B117" s="14" t="inlineStr">
        <is>
          <t>ضمن الخطة</t>
        </is>
      </c>
      <c r="C117" t="inlineStr">
        <is>
          <t>مدير توضيحي 3</t>
        </is>
      </c>
      <c r="D117" t="inlineStr">
        <is>
          <t>قرار توضيحي 116</t>
        </is>
      </c>
      <c r="I117" s="102" t="n"/>
      <c r="K117" s="14" t="inlineStr">
        <is>
          <t>بلدية دبي</t>
        </is>
      </c>
      <c r="L117" s="101" t="n"/>
      <c r="M117" s="14" t="inlineStr">
        <is>
          <t>التنمية المستدامة</t>
        </is>
      </c>
      <c r="N117" s="14" t="inlineStr">
        <is>
          <t>السياسات والاستراتيجيات البيئية والبنية التحتية</t>
        </is>
      </c>
      <c r="O117" s="14" t="inlineStr">
        <is>
          <t>رسالة رسمية</t>
        </is>
      </c>
      <c r="P117" s="14" t="inlineStr">
        <is>
          <t>TEC/OUT/2026/413</t>
        </is>
      </c>
      <c r="Q117" s="14" t="n">
        <v>46178</v>
      </c>
      <c r="R117" s="14" t="inlineStr">
        <is>
          <t>قيد التطوير</t>
        </is>
      </c>
      <c r="S117" s="14" t="n">
        <v>0.9</v>
      </c>
      <c r="T117" s="14" t="inlineStr">
        <is>
          <t>نعم</t>
        </is>
      </c>
    </row>
    <row r="118">
      <c r="A118" s="101" t="inlineStr">
        <is>
          <t>Sustainability_Performace_Tracker.xlsx</t>
        </is>
      </c>
      <c r="B118" s="14" t="inlineStr">
        <is>
          <t>ضمن الخطة</t>
        </is>
      </c>
      <c r="C118" t="inlineStr">
        <is>
          <t>مدير توضيحي 1</t>
        </is>
      </c>
      <c r="D118" t="inlineStr">
        <is>
          <t>قرار توضيحي 117</t>
        </is>
      </c>
      <c r="I118" s="102" t="n"/>
      <c r="K118" s="14" t="inlineStr">
        <is>
          <t>هيئة الصحة بدبي</t>
        </is>
      </c>
      <c r="L118" s="101" t="n"/>
      <c r="M118" s="14" t="inlineStr">
        <is>
          <t>التنمية المستدامة</t>
        </is>
      </c>
      <c r="N118" s="14" t="inlineStr">
        <is>
          <t>السياسات والاستراتيجيات البيئية والبنية التحتية</t>
        </is>
      </c>
      <c r="O118" s="14" t="inlineStr">
        <is>
          <t>مغلق (لا يتطلب متابعة)</t>
        </is>
      </c>
      <c r="R118" s="14" t="inlineStr">
        <is>
          <t>منجز</t>
        </is>
      </c>
    </row>
    <row r="119">
      <c r="A119" s="101" t="inlineStr">
        <is>
          <t>Sustainability_Performace_Tracker.xlsx</t>
        </is>
      </c>
      <c r="B119" s="14" t="inlineStr">
        <is>
          <t>ضمن الخطة</t>
        </is>
      </c>
      <c r="C119" t="inlineStr">
        <is>
          <t>مدير توضيحي 2</t>
        </is>
      </c>
      <c r="D119" t="inlineStr">
        <is>
          <t>قرار توضيحي 118</t>
        </is>
      </c>
      <c r="I119" s="102" t="n"/>
      <c r="K119" s="14" t="inlineStr">
        <is>
          <t>هيئة الطرق والمواصلات</t>
        </is>
      </c>
      <c r="L119" s="101" t="n"/>
      <c r="M119" s="14" t="inlineStr">
        <is>
          <t>التنمية المستدامة</t>
        </is>
      </c>
      <c r="N119" s="14" t="inlineStr">
        <is>
          <t>السياسات والاستراتيجيات البيئية والبنية التحتية</t>
        </is>
      </c>
      <c r="O119" s="14" t="inlineStr">
        <is>
          <t>مغلق (لا يتطلب متابعة)</t>
        </is>
      </c>
      <c r="R119" s="14" t="inlineStr">
        <is>
          <t>منجز</t>
        </is>
      </c>
    </row>
    <row r="120">
      <c r="A120" s="101" t="inlineStr">
        <is>
          <t>Sustainability_Performace_Tracker.xlsx</t>
        </is>
      </c>
      <c r="C120" t="inlineStr">
        <is>
          <t>مدير توضيحي 3</t>
        </is>
      </c>
      <c r="D120" t="inlineStr">
        <is>
          <t>قرار توضيحي 119</t>
        </is>
      </c>
      <c r="I120" s="102" t="n"/>
      <c r="K120" s="14" t="inlineStr">
        <is>
          <t>هيئة الطرق والمواصلات</t>
        </is>
      </c>
      <c r="L120" s="101" t="n"/>
      <c r="M120" s="14" t="inlineStr">
        <is>
          <t>التنمية المستدامة</t>
        </is>
      </c>
      <c r="N120" s="14" t="inlineStr">
        <is>
          <t>السياسات والاستراتيجيات البيئية والبنية التحتية</t>
        </is>
      </c>
      <c r="O120" s="14" t="inlineStr">
        <is>
          <t>مغلق (لا يتطلب متابعة)</t>
        </is>
      </c>
      <c r="R120" s="14" t="inlineStr">
        <is>
          <t>منجز</t>
        </is>
      </c>
    </row>
    <row r="121">
      <c r="A121" s="101" t="inlineStr">
        <is>
          <t>Sustainability_Performace_Tracker.xlsx</t>
        </is>
      </c>
      <c r="B121" s="14" t="inlineStr">
        <is>
          <t>ضمن الخطة</t>
        </is>
      </c>
      <c r="C121" t="inlineStr">
        <is>
          <t>مدير توضيحي 1</t>
        </is>
      </c>
      <c r="D121" t="inlineStr">
        <is>
          <t>قرار توضيحي 120</t>
        </is>
      </c>
      <c r="E121" s="14" t="n">
        <v>24</v>
      </c>
      <c r="G121" s="14" t="inlineStr">
        <is>
          <t>المجلس التنفيذي</t>
        </is>
      </c>
      <c r="H121" s="14" t="n">
        <v>2024</v>
      </c>
      <c r="I121" s="102" t="n">
        <v>45624</v>
      </c>
      <c r="K121" s="14" t="inlineStr">
        <is>
          <t>هيئة الطرق والمواصلات</t>
        </is>
      </c>
      <c r="L121" s="101" t="n"/>
      <c r="M121" s="14" t="inlineStr">
        <is>
          <t>التنمية المستدامة</t>
        </is>
      </c>
      <c r="N121" s="14" t="inlineStr">
        <is>
          <t>السياسات والاستراتيجيات البيئية والبنية التحتية</t>
        </is>
      </c>
      <c r="O121" s="14" t="inlineStr">
        <is>
          <t>مغلق (لا يتطلب متابعة)</t>
        </is>
      </c>
      <c r="R121" s="14" t="inlineStr">
        <is>
          <t>منجز</t>
        </is>
      </c>
    </row>
    <row r="122">
      <c r="A122" s="101" t="inlineStr">
        <is>
          <t>Sustainability_Performace_Tracker.xlsx</t>
        </is>
      </c>
      <c r="B122" s="14" t="inlineStr">
        <is>
          <t>ضمن الخطة</t>
        </is>
      </c>
      <c r="C122" t="inlineStr">
        <is>
          <t>مدير توضيحي 2</t>
        </is>
      </c>
      <c r="D122" t="inlineStr">
        <is>
          <t>قرار توضيحي 121</t>
        </is>
      </c>
      <c r="I122" s="102" t="n"/>
      <c r="K122" s="14" t="inlineStr">
        <is>
          <t>هيئة الطرق والمواصلات</t>
        </is>
      </c>
      <c r="L122" s="101" t="n"/>
      <c r="M122" s="14" t="inlineStr">
        <is>
          <t>التنمية المستدامة</t>
        </is>
      </c>
      <c r="N122" s="14" t="inlineStr">
        <is>
          <t>السياسات والاستراتيجيات البيئية والبنية التحتية</t>
        </is>
      </c>
      <c r="O122" s="14" t="inlineStr">
        <is>
          <t>مغلق (لا يتطلب متابعة)</t>
        </is>
      </c>
      <c r="R122" s="14" t="inlineStr">
        <is>
          <t>منجز</t>
        </is>
      </c>
    </row>
    <row r="123">
      <c r="A123" s="101" t="inlineStr">
        <is>
          <t>Sustainability_Performace_Tracker.xlsx</t>
        </is>
      </c>
      <c r="B123" s="14" t="inlineStr">
        <is>
          <t>ضمن الخطة</t>
        </is>
      </c>
      <c r="C123" t="inlineStr">
        <is>
          <t>مدير توضيحي 3</t>
        </is>
      </c>
      <c r="D123" t="inlineStr">
        <is>
          <t>قرار توضيحي 122</t>
        </is>
      </c>
      <c r="E123" s="14" t="n">
        <v>6</v>
      </c>
      <c r="G123" s="14" t="inlineStr">
        <is>
          <t>المجلس التنفيذي</t>
        </is>
      </c>
      <c r="H123" s="14" t="n">
        <v>2024</v>
      </c>
      <c r="I123" s="102" t="n">
        <v>45422</v>
      </c>
      <c r="K123" s="14" t="inlineStr">
        <is>
          <t>هيئة الطرق والمواصلات</t>
        </is>
      </c>
      <c r="L123" s="101" t="n"/>
      <c r="M123" s="14" t="inlineStr">
        <is>
          <t>التنمية المستدامة</t>
        </is>
      </c>
      <c r="N123" s="14" t="inlineStr">
        <is>
          <t>السياسات والاستراتيجيات البيئية والبنية التحتية</t>
        </is>
      </c>
      <c r="O123" s="14" t="inlineStr">
        <is>
          <t>رسالة رسمية</t>
        </is>
      </c>
      <c r="Q123" s="14" t="n">
        <v>46175</v>
      </c>
      <c r="R123" s="14" t="inlineStr">
        <is>
          <t>منجز</t>
        </is>
      </c>
      <c r="T123" s="14" t="inlineStr">
        <is>
          <t>نعم</t>
        </is>
      </c>
    </row>
    <row r="124">
      <c r="A124" s="101" t="inlineStr">
        <is>
          <t>Sustainability_Performace_Tracker.xlsx</t>
        </is>
      </c>
      <c r="B124" s="14" t="inlineStr">
        <is>
          <t>ضمن الخطة</t>
        </is>
      </c>
      <c r="C124" t="inlineStr">
        <is>
          <t>مدير توضيحي 1</t>
        </is>
      </c>
      <c r="D124" t="inlineStr">
        <is>
          <t>قرار توضيحي 123</t>
        </is>
      </c>
      <c r="E124" s="14" t="n">
        <v>19</v>
      </c>
      <c r="G124" s="14" t="inlineStr">
        <is>
          <t>المجلس التنفيذي</t>
        </is>
      </c>
      <c r="H124" s="14" t="n">
        <v>2024</v>
      </c>
      <c r="I124" s="102" t="n">
        <v>45567</v>
      </c>
      <c r="K124" s="14" t="inlineStr">
        <is>
          <t>هيئة الطرق والمواصلات</t>
        </is>
      </c>
      <c r="L124" s="101" t="n"/>
      <c r="M124" s="14" t="inlineStr">
        <is>
          <t>التنمية المستدامة</t>
        </is>
      </c>
      <c r="N124" s="14" t="inlineStr">
        <is>
          <t>السياسات والاستراتيجيات البيئية والبنية التحتية</t>
        </is>
      </c>
      <c r="O124" s="14" t="inlineStr">
        <is>
          <t>رسالة رسمية</t>
        </is>
      </c>
      <c r="Q124" s="14" t="n">
        <v>46175</v>
      </c>
      <c r="R124" s="14" t="inlineStr">
        <is>
          <t>منجز</t>
        </is>
      </c>
      <c r="T124" s="14" t="inlineStr">
        <is>
          <t>نعم</t>
        </is>
      </c>
    </row>
    <row r="125">
      <c r="A125" s="101" t="inlineStr">
        <is>
          <t>Sustainability_Performace_Tracker.xlsx</t>
        </is>
      </c>
      <c r="B125" s="14" t="inlineStr">
        <is>
          <t>ضمن الخطة</t>
        </is>
      </c>
      <c r="C125" t="inlineStr">
        <is>
          <t>مدير توضيحي 2</t>
        </is>
      </c>
      <c r="D125" t="inlineStr">
        <is>
          <t>قرار توضيحي 124</t>
        </is>
      </c>
      <c r="E125" s="14" t="inlineStr">
        <is>
          <t>2022/17</t>
        </is>
      </c>
      <c r="G125" s="14" t="inlineStr">
        <is>
          <t>المجلس التنفيذي</t>
        </is>
      </c>
      <c r="H125" s="14" t="n">
        <v>2022</v>
      </c>
      <c r="I125" s="102" t="n">
        <v>44735</v>
      </c>
      <c r="K125" s="14" t="inlineStr">
        <is>
          <t>هيئة الطرق والمواصلات</t>
        </is>
      </c>
      <c r="L125" s="101" t="n"/>
      <c r="M125" s="14" t="inlineStr">
        <is>
          <t>التنمية المستدامة</t>
        </is>
      </c>
      <c r="N125" s="14" t="inlineStr">
        <is>
          <t>السياسات والاستراتيجيات البيئية والبنية التحتية</t>
        </is>
      </c>
      <c r="O125" s="14" t="inlineStr">
        <is>
          <t>رسالة رسمية</t>
        </is>
      </c>
      <c r="P125" s="14" t="inlineStr">
        <is>
          <t>TEC/OUT/2026/420</t>
        </is>
      </c>
      <c r="Q125" s="14" t="n">
        <v>46162</v>
      </c>
      <c r="R125" s="14" t="inlineStr">
        <is>
          <t>منجز</t>
        </is>
      </c>
      <c r="T125" s="14" t="inlineStr">
        <is>
          <t>نعم</t>
        </is>
      </c>
    </row>
    <row r="126">
      <c r="A126" s="101" t="inlineStr">
        <is>
          <t>Sustainability_Performace_Tracker.xlsx</t>
        </is>
      </c>
      <c r="B126" s="14" t="inlineStr">
        <is>
          <t>ضمن الخطة</t>
        </is>
      </c>
      <c r="C126" t="inlineStr">
        <is>
          <t>مدير توضيحي 3</t>
        </is>
      </c>
      <c r="D126" t="inlineStr">
        <is>
          <t>قرار توضيحي 125</t>
        </is>
      </c>
      <c r="E126" s="14" t="n">
        <v>9</v>
      </c>
      <c r="G126" s="14" t="inlineStr">
        <is>
          <t>المجلس التنفيذي</t>
        </is>
      </c>
      <c r="H126" s="14" t="n">
        <v>2024</v>
      </c>
      <c r="I126" s="102" t="n">
        <v>45422</v>
      </c>
      <c r="K126" s="14" t="inlineStr">
        <is>
          <t>هيئة الطرق والمواصلات</t>
        </is>
      </c>
      <c r="L126" s="101" t="n"/>
      <c r="M126" s="14" t="inlineStr">
        <is>
          <t>التنمية المستدامة</t>
        </is>
      </c>
      <c r="N126" s="14" t="inlineStr">
        <is>
          <t>السياسات والاستراتيجيات البيئية والبنية التحتية</t>
        </is>
      </c>
      <c r="O126" s="14" t="inlineStr">
        <is>
          <t>رسالة رسمية</t>
        </is>
      </c>
      <c r="Q126" s="14" t="n">
        <v>46162</v>
      </c>
      <c r="R126" s="14" t="inlineStr">
        <is>
          <t>منجز</t>
        </is>
      </c>
      <c r="T126" s="14" t="inlineStr">
        <is>
          <t>نعم</t>
        </is>
      </c>
    </row>
    <row r="127">
      <c r="A127" s="101" t="inlineStr">
        <is>
          <t>Sustainability_Performace_Tracker.xlsx</t>
        </is>
      </c>
      <c r="C127" t="inlineStr">
        <is>
          <t>مدير توضيحي 1</t>
        </is>
      </c>
      <c r="D127" t="inlineStr">
        <is>
          <t>قرار توضيحي 126</t>
        </is>
      </c>
      <c r="I127" s="102" t="n"/>
      <c r="K127" s="14" t="inlineStr">
        <is>
          <t>هيئة الطرق والمواصلات</t>
        </is>
      </c>
      <c r="L127" s="101" t="n"/>
      <c r="M127" s="14" t="inlineStr">
        <is>
          <t>التنمية المستدامة</t>
        </is>
      </c>
      <c r="N127" s="14" t="inlineStr">
        <is>
          <t>السياسات والاستراتيجيات البيئية والبنية التحتية</t>
        </is>
      </c>
      <c r="O127" s="14" t="inlineStr">
        <is>
          <t>مغلق (لا يتطلب متابعة)</t>
        </is>
      </c>
      <c r="R127" s="14" t="inlineStr">
        <is>
          <t>منجز</t>
        </is>
      </c>
    </row>
    <row r="128">
      <c r="A128" s="101" t="inlineStr">
        <is>
          <t>Sustainability_Performace_Tracker.xlsx</t>
        </is>
      </c>
      <c r="C128" t="inlineStr">
        <is>
          <t>مدير توضيحي 2</t>
        </is>
      </c>
      <c r="D128" t="inlineStr">
        <is>
          <t>قرار توضيحي 127</t>
        </is>
      </c>
      <c r="I128" s="102" t="n"/>
      <c r="K128" s="14" t="inlineStr">
        <is>
          <t>هيئة الطرق والمواصلات</t>
        </is>
      </c>
      <c r="L128" s="101" t="n"/>
      <c r="M128" s="14" t="inlineStr">
        <is>
          <t>التنمية المستدامة</t>
        </is>
      </c>
      <c r="N128" s="14" t="inlineStr">
        <is>
          <t>السياسات والاستراتيجيات الصحية والعدل</t>
        </is>
      </c>
      <c r="O128" s="14" t="inlineStr">
        <is>
          <t>مغلق (لا يتطلب متابعة)</t>
        </is>
      </c>
      <c r="R128" s="14" t="inlineStr">
        <is>
          <t>منجز</t>
        </is>
      </c>
    </row>
    <row r="129">
      <c r="A129" s="101" t="inlineStr">
        <is>
          <t>Sustainability_Performace_Tracker.xlsx</t>
        </is>
      </c>
      <c r="C129" t="inlineStr">
        <is>
          <t>مدير توضيحي 3</t>
        </is>
      </c>
      <c r="D129" t="inlineStr">
        <is>
          <t>قرار توضيحي 128</t>
        </is>
      </c>
      <c r="I129" s="102" t="n"/>
      <c r="K129" s="14" t="inlineStr">
        <is>
          <t>هيئة الطرق والمواصلات</t>
        </is>
      </c>
      <c r="L129" s="101" t="n"/>
      <c r="M129" s="14" t="inlineStr">
        <is>
          <t>التنمية المستدامة</t>
        </is>
      </c>
      <c r="N129" s="14" t="inlineStr">
        <is>
          <t>السياسات والاستراتيجيات البيئية والبنية التحتية</t>
        </is>
      </c>
      <c r="O129" s="14" t="inlineStr">
        <is>
          <t>مغلق (لا يتطلب متابعة)</t>
        </is>
      </c>
      <c r="R129" s="14" t="inlineStr">
        <is>
          <t>منجز</t>
        </is>
      </c>
    </row>
    <row r="130">
      <c r="A130" s="101" t="inlineStr">
        <is>
          <t>Sustainability_Performace_Tracker.xlsx</t>
        </is>
      </c>
      <c r="C130" t="inlineStr">
        <is>
          <t>مدير توضيحي 1</t>
        </is>
      </c>
      <c r="D130" t="inlineStr">
        <is>
          <t>قرار توضيحي 129</t>
        </is>
      </c>
      <c r="I130" s="102" t="n"/>
      <c r="K130" s="14" t="inlineStr">
        <is>
          <t>هيئة الطرق والمواصلات</t>
        </is>
      </c>
      <c r="L130" s="101" t="n"/>
      <c r="M130" s="14" t="inlineStr">
        <is>
          <t>التنمية المستدامة</t>
        </is>
      </c>
      <c r="N130" s="14" t="inlineStr">
        <is>
          <t>السياسات والاستراتيجيات البيئية والبنية التحتية</t>
        </is>
      </c>
      <c r="O130" s="14" t="inlineStr">
        <is>
          <t>مغلق (لا يتطلب متابعة)</t>
        </is>
      </c>
      <c r="R130" s="14" t="inlineStr">
        <is>
          <t>منجز</t>
        </is>
      </c>
    </row>
    <row r="131">
      <c r="A131" s="101" t="inlineStr">
        <is>
          <t>Sustainability_Performace_Tracker.xlsx</t>
        </is>
      </c>
      <c r="C131" t="inlineStr">
        <is>
          <t>مدير توضيحي 2</t>
        </is>
      </c>
      <c r="D131" t="inlineStr">
        <is>
          <t>قرار توضيحي 130</t>
        </is>
      </c>
      <c r="I131" s="102" t="n"/>
      <c r="K131" s="14" t="inlineStr">
        <is>
          <t>هيئة الطرق والمواصلات</t>
        </is>
      </c>
      <c r="L131" s="101" t="n"/>
      <c r="M131" s="14" t="inlineStr">
        <is>
          <t>التنمية المستدامة</t>
        </is>
      </c>
      <c r="N131" s="14" t="inlineStr">
        <is>
          <t>السياسات والاستراتيجيات البيئية والبنية التحتية</t>
        </is>
      </c>
      <c r="O131" s="14" t="inlineStr">
        <is>
          <t>مغلق (لا يتطلب متابعة)</t>
        </is>
      </c>
      <c r="R131" s="14" t="inlineStr">
        <is>
          <t>منجز</t>
        </is>
      </c>
    </row>
    <row r="132">
      <c r="A132" s="101" t="inlineStr">
        <is>
          <t>Sustainability_Performace_Tracker.xlsx</t>
        </is>
      </c>
      <c r="B132" s="14" t="inlineStr">
        <is>
          <t>ضمن الخطة</t>
        </is>
      </c>
      <c r="C132" t="inlineStr">
        <is>
          <t>مدير توضيحي 3</t>
        </is>
      </c>
      <c r="D132" t="inlineStr">
        <is>
          <t>قرار توضيحي 131</t>
        </is>
      </c>
      <c r="E132" s="14" t="n">
        <v>2</v>
      </c>
      <c r="G132" s="14" t="inlineStr">
        <is>
          <t>المجلس التنفيذي</t>
        </is>
      </c>
      <c r="H132" s="14" t="n">
        <v>2025</v>
      </c>
      <c r="I132" s="102" t="n">
        <v>45698</v>
      </c>
      <c r="K132" s="14" t="inlineStr">
        <is>
          <t>هيئة الطرق والمواصلات</t>
        </is>
      </c>
      <c r="L132" s="101" t="n"/>
      <c r="M132" s="14" t="inlineStr">
        <is>
          <t>التنمية المستدامة</t>
        </is>
      </c>
      <c r="N132" s="14" t="inlineStr">
        <is>
          <t>السياسات والاستراتيجيات البيئية والبنية التحتية</t>
        </is>
      </c>
      <c r="O132" s="14" t="inlineStr">
        <is>
          <t>رسالة رسمية</t>
        </is>
      </c>
      <c r="Q132" s="14" t="n">
        <v>46162</v>
      </c>
      <c r="R132" s="14" t="inlineStr">
        <is>
          <t>منجز</t>
        </is>
      </c>
      <c r="S132" s="14" t="n">
        <v>0.95</v>
      </c>
      <c r="T132" s="14" t="inlineStr">
        <is>
          <t>نعم</t>
        </is>
      </c>
    </row>
    <row r="133">
      <c r="A133" s="101" t="inlineStr">
        <is>
          <t>Sustainability_Performace_Tracker.xlsx</t>
        </is>
      </c>
      <c r="B133" s="14" t="inlineStr">
        <is>
          <t>ضمن الخطة</t>
        </is>
      </c>
      <c r="C133" t="inlineStr">
        <is>
          <t>مدير توضيحي 1</t>
        </is>
      </c>
      <c r="D133" t="inlineStr">
        <is>
          <t>قرار توضيحي 132</t>
        </is>
      </c>
      <c r="E133" s="14" t="n">
        <v>29</v>
      </c>
      <c r="G133" s="14" t="inlineStr">
        <is>
          <t>المجلس التنفيذي</t>
        </is>
      </c>
      <c r="H133" s="14" t="n">
        <v>2025</v>
      </c>
      <c r="I133" s="102" t="n">
        <v>45999</v>
      </c>
      <c r="J133" s="14" t="inlineStr">
        <is>
          <t>TEC/OUT/2025/1263</t>
        </is>
      </c>
      <c r="K133" s="14" t="inlineStr">
        <is>
          <t>هيئة دبي الرقمية</t>
        </is>
      </c>
      <c r="L133" s="101" t="n"/>
      <c r="M133" s="14" t="inlineStr">
        <is>
          <t>التنمية المستدامة</t>
        </is>
      </c>
      <c r="N133" s="14" t="inlineStr">
        <is>
          <t>السياسات والاستراتيجيات البيئية والبنية التحتية</t>
        </is>
      </c>
      <c r="O133" s="14" t="inlineStr">
        <is>
          <t>بريد من الوحدة التنظيمية</t>
        </is>
      </c>
      <c r="R133" s="14" t="inlineStr">
        <is>
          <t>قيد التطوير</t>
        </is>
      </c>
      <c r="T133" s="14" t="inlineStr">
        <is>
          <t>لا</t>
        </is>
      </c>
    </row>
    <row r="134">
      <c r="A134" s="101" t="inlineStr">
        <is>
          <t>Sustainability_Performace_Tracker.xlsx</t>
        </is>
      </c>
      <c r="B134" s="14" t="inlineStr">
        <is>
          <t>ضمن الخطة</t>
        </is>
      </c>
      <c r="C134" t="inlineStr">
        <is>
          <t>مدير توضيحي 2</t>
        </is>
      </c>
      <c r="D134" t="inlineStr">
        <is>
          <t>قرار توضيحي 133</t>
        </is>
      </c>
      <c r="E134" s="14" t="n">
        <v>16</v>
      </c>
      <c r="G134" s="14" t="inlineStr">
        <is>
          <t>المجلس التنفيذي</t>
        </is>
      </c>
      <c r="H134" s="14" t="n">
        <v>2025</v>
      </c>
      <c r="I134" s="102" t="n">
        <v>45838</v>
      </c>
      <c r="K134" s="14" t="inlineStr">
        <is>
          <t>هيئة دبي للبيئة والتغير المناخي</t>
        </is>
      </c>
      <c r="L134" s="101" t="n"/>
      <c r="M134" s="14" t="inlineStr">
        <is>
          <t>التنمية المستدامة</t>
        </is>
      </c>
      <c r="N134" s="14" t="inlineStr">
        <is>
          <t>السياسات والاستراتيجيات البيئية والبنية التحتية</t>
        </is>
      </c>
      <c r="O134" s="14" t="inlineStr">
        <is>
          <t>بريد من الوحدة التنظيمية</t>
        </is>
      </c>
      <c r="R134" s="14" t="inlineStr">
        <is>
          <t>منجز</t>
        </is>
      </c>
      <c r="T134" s="14" t="inlineStr">
        <is>
          <t>نعم</t>
        </is>
      </c>
    </row>
    <row r="135">
      <c r="A135" s="101" t="inlineStr">
        <is>
          <t>Sustainability_Performace_Tracker.xlsx</t>
        </is>
      </c>
      <c r="B135" s="14" t="inlineStr">
        <is>
          <t>ضمن الخطة</t>
        </is>
      </c>
      <c r="C135" t="inlineStr">
        <is>
          <t>مدير توضيحي 3</t>
        </is>
      </c>
      <c r="D135" t="inlineStr">
        <is>
          <t>قرار توضيحي 134</t>
        </is>
      </c>
      <c r="E135" s="14" t="n">
        <v>10</v>
      </c>
      <c r="G135" s="14" t="inlineStr">
        <is>
          <t>المجلس التنفيذي</t>
        </is>
      </c>
      <c r="H135" s="14" t="n">
        <v>2026</v>
      </c>
      <c r="I135" s="102" t="n">
        <v>46202</v>
      </c>
      <c r="J135" s="14" t="inlineStr">
        <is>
          <t>TEC/OUT/2026/634</t>
        </is>
      </c>
      <c r="K135" s="14" t="inlineStr">
        <is>
          <t>مركز دبي للمرونة</t>
        </is>
      </c>
      <c r="L135" s="101" t="n"/>
      <c r="M135" s="14" t="inlineStr">
        <is>
          <t>التنمية المستدامة</t>
        </is>
      </c>
      <c r="N135" s="14" t="inlineStr">
        <is>
          <t>السياسات والاستراتيجيات البيئية والبنية التحتية</t>
        </is>
      </c>
      <c r="O135" s="14" t="inlineStr">
        <is>
          <t>بريد من الوحدة التنظيمية</t>
        </is>
      </c>
      <c r="R135" s="14" t="inlineStr">
        <is>
          <t>قيد التطوير</t>
        </is>
      </c>
      <c r="T135" s="14" t="inlineStr">
        <is>
          <t>لا</t>
        </is>
      </c>
    </row>
    <row r="136">
      <c r="A136" s="101" t="inlineStr">
        <is>
          <t>Sustainability_Performace_Tracker.xlsx</t>
        </is>
      </c>
      <c r="B136" s="14" t="inlineStr">
        <is>
          <t>ضمن الخطة</t>
        </is>
      </c>
      <c r="C136" t="inlineStr">
        <is>
          <t>مدير توضيحي 1</t>
        </is>
      </c>
      <c r="D136" t="inlineStr">
        <is>
          <t>قرار توضيحي 135</t>
        </is>
      </c>
      <c r="E136" s="14" t="n">
        <v>22</v>
      </c>
      <c r="G136" s="14" t="inlineStr">
        <is>
          <t>المجلس التنفيذي</t>
        </is>
      </c>
      <c r="H136" s="14" t="n">
        <v>2024</v>
      </c>
      <c r="I136" s="102" t="n">
        <v>44136</v>
      </c>
      <c r="K136" s="14" t="inlineStr">
        <is>
          <t>هيئة دبي للبيئة والتغير المناخي</t>
        </is>
      </c>
      <c r="L136" s="101" t="n"/>
      <c r="M136" s="14" t="inlineStr">
        <is>
          <t>التنمية المستدامة</t>
        </is>
      </c>
      <c r="N136" s="14" t="inlineStr">
        <is>
          <t>السياسات والاستراتيجيات البيئية والبنية التحتية</t>
        </is>
      </c>
      <c r="O136" s="14" t="inlineStr">
        <is>
          <t>بريد من الوحدة التنظيمية</t>
        </is>
      </c>
      <c r="R136" s="14" t="inlineStr">
        <is>
          <t>منجز</t>
        </is>
      </c>
      <c r="T136" s="14" t="inlineStr">
        <is>
          <t>نعم</t>
        </is>
      </c>
    </row>
    <row r="137">
      <c r="A137" s="101" t="inlineStr">
        <is>
          <t>Sustainability_Performace_Tracker.xlsx</t>
        </is>
      </c>
      <c r="B137" s="14" t="inlineStr">
        <is>
          <t>ضمن الخطة</t>
        </is>
      </c>
      <c r="C137" t="inlineStr">
        <is>
          <t>مدير توضيحي 2</t>
        </is>
      </c>
      <c r="D137" t="inlineStr">
        <is>
          <t>قرار توضيحي 136</t>
        </is>
      </c>
      <c r="E137" s="14" t="inlineStr">
        <is>
          <t>2021/2</t>
        </is>
      </c>
      <c r="G137" s="14" t="inlineStr">
        <is>
          <t>المجلس التنفيذي</t>
        </is>
      </c>
      <c r="H137" s="14" t="n">
        <v>2021</v>
      </c>
      <c r="I137" s="102" t="n">
        <v>44228</v>
      </c>
      <c r="K137" s="14" t="inlineStr">
        <is>
          <t>هيئة الطرق والمواصلات</t>
        </is>
      </c>
      <c r="L137" s="101" t="n"/>
      <c r="M137" s="14" t="inlineStr">
        <is>
          <t>التنمية المستدامة</t>
        </is>
      </c>
      <c r="N137" s="14" t="inlineStr">
        <is>
          <t>السياسات والاستراتيجيات البيئية والبنية التحتية</t>
        </is>
      </c>
      <c r="O137" s="14" t="inlineStr">
        <is>
          <t>رسالة رسمية</t>
        </is>
      </c>
      <c r="P137" s="14" t="inlineStr">
        <is>
          <t>TEC/OUT/2026/420</t>
        </is>
      </c>
      <c r="Q137" s="14" t="n">
        <v>46162</v>
      </c>
      <c r="R137" s="14" t="inlineStr">
        <is>
          <t>منجز</t>
        </is>
      </c>
      <c r="T137" s="14" t="inlineStr">
        <is>
          <t>نعم</t>
        </is>
      </c>
    </row>
    <row r="138">
      <c r="A138" s="101" t="inlineStr">
        <is>
          <t>Sustainability_Performace_Tracker.xlsx</t>
        </is>
      </c>
      <c r="B138" s="14" t="inlineStr">
        <is>
          <t>ضمن الخطة</t>
        </is>
      </c>
      <c r="C138" t="inlineStr">
        <is>
          <t>مدير توضيحي 3</t>
        </is>
      </c>
      <c r="D138" t="inlineStr">
        <is>
          <t>قرار توضيحي 137</t>
        </is>
      </c>
      <c r="G138" s="14" t="inlineStr">
        <is>
          <t>المجلس التنفيذي</t>
        </is>
      </c>
      <c r="H138" s="14" t="n">
        <v>2022</v>
      </c>
      <c r="I138" s="102" t="n"/>
      <c r="K138" s="14" t="inlineStr">
        <is>
          <t>القيادة العامة للدفاع المدني - دبي</t>
        </is>
      </c>
      <c r="L138" s="101" t="n"/>
      <c r="M138" s="14" t="inlineStr">
        <is>
          <t>التنمية المستدامة</t>
        </is>
      </c>
      <c r="N138" s="14" t="inlineStr">
        <is>
          <t>السياسات والاستراتيجيات الصحية والعدل</t>
        </is>
      </c>
      <c r="R138" s="14" t="inlineStr">
        <is>
          <t>قيد التطوير</t>
        </is>
      </c>
      <c r="T138" s="14" t="inlineStr">
        <is>
          <t>نعم</t>
        </is>
      </c>
    </row>
    <row r="139">
      <c r="A139" s="101" t="inlineStr">
        <is>
          <t>Sustainability_Performace_Tracker.xlsx</t>
        </is>
      </c>
      <c r="B139" s="14" t="inlineStr">
        <is>
          <t>ضمن الخطة</t>
        </is>
      </c>
      <c r="C139" t="inlineStr">
        <is>
          <t>مدير توضيحي 1</t>
        </is>
      </c>
      <c r="D139" t="inlineStr">
        <is>
          <t>قرار توضيحي 138</t>
        </is>
      </c>
      <c r="E139" s="14" t="inlineStr">
        <is>
          <t>2021/12</t>
        </is>
      </c>
      <c r="G139" s="14" t="inlineStr">
        <is>
          <t>المجلس التنفيذي</t>
        </is>
      </c>
      <c r="H139" s="14" t="n">
        <v>2021</v>
      </c>
      <c r="I139" s="102" t="n">
        <v>44293</v>
      </c>
      <c r="K139" s="14" t="inlineStr">
        <is>
          <t>هيئة الطرق والمواصلات</t>
        </is>
      </c>
      <c r="L139" s="101" t="n"/>
      <c r="M139" s="14" t="inlineStr">
        <is>
          <t>التنمية المستدامة</t>
        </is>
      </c>
      <c r="N139" s="14" t="inlineStr">
        <is>
          <t>السياسات والاستراتيجيات البيئية والبنية التحتية</t>
        </is>
      </c>
      <c r="O139" s="14" t="inlineStr">
        <is>
          <t>مغلق (لا يتطلب متابعة)</t>
        </is>
      </c>
      <c r="P139" s="14" t="inlineStr">
        <is>
          <t>TEC/OUT/2026/420</t>
        </is>
      </c>
      <c r="Q139" s="14" t="n">
        <v>46162</v>
      </c>
      <c r="R139" s="14" t="inlineStr">
        <is>
          <t>منجز</t>
        </is>
      </c>
      <c r="T139" s="14" t="inlineStr">
        <is>
          <t>نعم</t>
        </is>
      </c>
    </row>
    <row r="140">
      <c r="A140" s="101" t="inlineStr">
        <is>
          <t>Sustainability_Performace_Tracker.xlsx</t>
        </is>
      </c>
      <c r="C140" t="inlineStr">
        <is>
          <t>مدير توضيحي 2</t>
        </is>
      </c>
      <c r="D140" t="inlineStr">
        <is>
          <t>قرار توضيحي 139</t>
        </is>
      </c>
      <c r="I140" s="102" t="n"/>
      <c r="K140" s="14" t="inlineStr">
        <is>
          <t>هيئة دبي للبيئة والتغير المناخي</t>
        </is>
      </c>
      <c r="L140" s="101" t="n"/>
      <c r="M140" s="14" t="inlineStr">
        <is>
          <t>التنمية المستدامة</t>
        </is>
      </c>
      <c r="N140" s="14" t="inlineStr">
        <is>
          <t>السياسات والاستراتيجيات البيئية والبنية التحتية</t>
        </is>
      </c>
      <c r="O140" s="14" t="inlineStr">
        <is>
          <t>بريد من الوحدة التنظيمية</t>
        </is>
      </c>
      <c r="R140" s="14" t="inlineStr">
        <is>
          <t>قيد التطوير</t>
        </is>
      </c>
    </row>
    <row r="141">
      <c r="A141" s="101" t="inlineStr">
        <is>
          <t>Sustainability_Performace_Tracker.xlsx</t>
        </is>
      </c>
      <c r="B141" s="14" t="inlineStr">
        <is>
          <t>ضمن الخطة</t>
        </is>
      </c>
      <c r="C141" t="inlineStr">
        <is>
          <t>مدير توضيحي 3</t>
        </is>
      </c>
      <c r="D141" t="inlineStr">
        <is>
          <t>قرار توضيحي 140</t>
        </is>
      </c>
      <c r="E141" s="14" t="n">
        <v>18</v>
      </c>
      <c r="I141" s="102" t="n"/>
      <c r="K141" s="14" t="inlineStr">
        <is>
          <t>مؤسسة دبي لخدمات الإسعاف</t>
        </is>
      </c>
      <c r="L141" s="101" t="n"/>
      <c r="M141" s="14" t="inlineStr">
        <is>
          <t>التنمية المستدامة</t>
        </is>
      </c>
      <c r="N141" s="14" t="inlineStr">
        <is>
          <t>السياسات والاستراتيجيات البيئية والبنية التحتية</t>
        </is>
      </c>
      <c r="O141" s="14" t="inlineStr">
        <is>
          <t>بريد من الوحدة التنظيمية</t>
        </is>
      </c>
      <c r="R141" s="14" t="inlineStr">
        <is>
          <t>قيد التطوير</t>
        </is>
      </c>
    </row>
    <row r="142">
      <c r="A142" s="101" t="inlineStr">
        <is>
          <t>Sustainability_Performace_Tracker.xlsx</t>
        </is>
      </c>
      <c r="B142" s="14" t="inlineStr">
        <is>
          <t>ضمن الخطة</t>
        </is>
      </c>
      <c r="C142" t="inlineStr">
        <is>
          <t>مدير توضيحي 1</t>
        </is>
      </c>
      <c r="D142" t="inlineStr">
        <is>
          <t>قرار توضيحي 141</t>
        </is>
      </c>
      <c r="I142" s="102" t="n"/>
      <c r="K142" s="14" t="inlineStr">
        <is>
          <t>مؤسسة دبي لخدمات الإسعاف</t>
        </is>
      </c>
      <c r="L142" s="101" t="n"/>
      <c r="M142" s="14" t="inlineStr">
        <is>
          <t>التنمية المستدامة</t>
        </is>
      </c>
      <c r="N142" s="14" t="inlineStr">
        <is>
          <t>السياسات والاستراتيجيات البيئية والبنية التحتية</t>
        </is>
      </c>
      <c r="O142" s="14" t="inlineStr">
        <is>
          <t>بريد من الوحدة التنظيمية</t>
        </is>
      </c>
      <c r="P142" s="14" t="inlineStr">
        <is>
          <t>TEC/OUT/2026/ 726</t>
        </is>
      </c>
      <c r="R142" s="14" t="inlineStr">
        <is>
          <t>قيد التطوير</t>
        </is>
      </c>
      <c r="T142" s="14" t="inlineStr">
        <is>
          <t>لا</t>
        </is>
      </c>
    </row>
    <row r="143">
      <c r="A143" s="101" t="inlineStr">
        <is>
          <t>Sustainability_Performace_Tracker.xlsx</t>
        </is>
      </c>
      <c r="B143" s="14" t="inlineStr">
        <is>
          <t>ضمن الخطة</t>
        </is>
      </c>
      <c r="C143" t="inlineStr">
        <is>
          <t>مدير توضيحي 2</t>
        </is>
      </c>
      <c r="D143" t="inlineStr">
        <is>
          <t>قرار توضيحي 142</t>
        </is>
      </c>
      <c r="E143" s="14" t="n">
        <v>35</v>
      </c>
      <c r="G143" s="14" t="inlineStr">
        <is>
          <t>مجلس الشؤون الاستراتيجية</t>
        </is>
      </c>
      <c r="H143" s="14" t="n">
        <v>2026</v>
      </c>
      <c r="I143" s="102" t="n"/>
      <c r="K143" s="14" t="inlineStr">
        <is>
          <t>هيئة الصحة بدبي</t>
        </is>
      </c>
      <c r="L143" s="101" t="n"/>
      <c r="M143" s="14" t="inlineStr">
        <is>
          <t>التنمية المستدامة</t>
        </is>
      </c>
      <c r="N143" s="14" t="inlineStr">
        <is>
          <t>السياسات والاستراتيجيات البيئية والبنية التحتية</t>
        </is>
      </c>
      <c r="O143" s="14" t="inlineStr">
        <is>
          <t>بريد من الوحدة التنظيمية</t>
        </is>
      </c>
      <c r="R143" s="14" t="inlineStr">
        <is>
          <t>قيد التطوير</t>
        </is>
      </c>
    </row>
    <row r="144">
      <c r="A144" s="101" t="inlineStr">
        <is>
          <t>Sustainability_Performace_Tracker.xlsx</t>
        </is>
      </c>
      <c r="B144" s="14" t="inlineStr">
        <is>
          <t>ضمن الخطة</t>
        </is>
      </c>
      <c r="C144" t="inlineStr">
        <is>
          <t>مدير توضيحي 3</t>
        </is>
      </c>
      <c r="D144" t="inlineStr">
        <is>
          <t>قرار توضيحي 143</t>
        </is>
      </c>
      <c r="G144" s="14" t="inlineStr">
        <is>
          <t>المجلس التنفيذي</t>
        </is>
      </c>
      <c r="I144" s="102" t="n"/>
      <c r="L144" s="101" t="n"/>
      <c r="M144" s="14" t="inlineStr">
        <is>
          <t>التنمية المستدامة</t>
        </is>
      </c>
    </row>
    <row r="145">
      <c r="A145" s="101" t="inlineStr">
        <is>
          <t>Sustainability_Performace_Tracker.xlsx</t>
        </is>
      </c>
      <c r="B145" s="14" t="inlineStr">
        <is>
          <t>ضمن الخطة</t>
        </is>
      </c>
      <c r="C145" t="inlineStr">
        <is>
          <t>مدير توضيحي 1</t>
        </is>
      </c>
      <c r="D145" t="inlineStr">
        <is>
          <t>قرار توضيحي 144</t>
        </is>
      </c>
      <c r="G145" s="14" t="inlineStr">
        <is>
          <t>المجلس التنفيذي</t>
        </is>
      </c>
      <c r="I145" s="102" t="n"/>
      <c r="L145" s="101" t="n"/>
      <c r="M145" s="14" t="inlineStr">
        <is>
          <t>التنمية المستدامة</t>
        </is>
      </c>
    </row>
    <row r="146">
      <c r="A146" s="101" t="inlineStr">
        <is>
          <t>Sustainability_Performace_Tracker.xlsx</t>
        </is>
      </c>
      <c r="C146" t="inlineStr">
        <is>
          <t>مدير توضيحي 2</t>
        </is>
      </c>
      <c r="D146" t="inlineStr">
        <is>
          <t>قرار توضيحي 145</t>
        </is>
      </c>
      <c r="I146" s="102" t="n"/>
      <c r="L146" s="101" t="n"/>
      <c r="M146" s="14" t="inlineStr">
        <is>
          <t>التنمية المستدامة</t>
        </is>
      </c>
    </row>
    <row r="147">
      <c r="A147" s="101" t="inlineStr">
        <is>
          <t>Sustainability_Performace_Tracker.xlsx</t>
        </is>
      </c>
      <c r="B147" s="14" t="inlineStr">
        <is>
          <t>خارج الخطة</t>
        </is>
      </c>
      <c r="C147" t="inlineStr">
        <is>
          <t>مدير توضيحي 3</t>
        </is>
      </c>
      <c r="D147" t="inlineStr">
        <is>
          <t>قرار توضيحي 146</t>
        </is>
      </c>
      <c r="G147" s="14" t="inlineStr">
        <is>
          <t>المجلس التنفيذي</t>
        </is>
      </c>
      <c r="H147" s="14" t="n">
        <v>2026</v>
      </c>
      <c r="I147" s="102" t="n"/>
      <c r="K147" s="14" t="inlineStr">
        <is>
          <t>اللجنة العليا للتخطيط الحضري</t>
        </is>
      </c>
      <c r="L147" s="101" t="n"/>
      <c r="M147" s="14" t="inlineStr">
        <is>
          <t>التنمية المستدامة</t>
        </is>
      </c>
      <c r="O147" s="14" t="inlineStr">
        <is>
          <t>مغلق (لا يتطلب متابعة)</t>
        </is>
      </c>
    </row>
    <row r="148">
      <c r="A148" s="101" t="inlineStr">
        <is>
          <t>Sustainability_Performace_Tracker.xlsx</t>
        </is>
      </c>
      <c r="B148" s="14" t="inlineStr">
        <is>
          <t>خارج الخطة</t>
        </is>
      </c>
      <c r="C148" t="inlineStr">
        <is>
          <t>مدير توضيحي 1</t>
        </is>
      </c>
      <c r="D148" t="inlineStr">
        <is>
          <t>قرار توضيحي 147</t>
        </is>
      </c>
      <c r="E148" s="14" t="inlineStr">
        <is>
          <t>15/2026</t>
        </is>
      </c>
      <c r="G148" s="14" t="inlineStr">
        <is>
          <t>المجلس التنفيذي</t>
        </is>
      </c>
      <c r="H148" s="14" t="n">
        <v>2026</v>
      </c>
      <c r="I148" s="102" t="n">
        <v>46204</v>
      </c>
      <c r="K148" s="14" t="inlineStr">
        <is>
          <t>هيئة الطرق والمواصلات</t>
        </is>
      </c>
      <c r="L148" s="101" t="n"/>
      <c r="M148" s="14" t="inlineStr">
        <is>
          <t>التنمية المستدامة</t>
        </is>
      </c>
      <c r="O148" s="14" t="inlineStr">
        <is>
          <t>مغلق (لا يتطلب متابعة)</t>
        </is>
      </c>
    </row>
    <row r="149">
      <c r="A149" s="101" t="inlineStr">
        <is>
          <t>Sustainability_Performace_Tracker.xlsx</t>
        </is>
      </c>
      <c r="B149" s="14" t="inlineStr">
        <is>
          <t>خارج الخطة</t>
        </is>
      </c>
      <c r="C149" t="inlineStr">
        <is>
          <t>مدير توضيحي 2</t>
        </is>
      </c>
      <c r="D149" t="inlineStr">
        <is>
          <t>قرار توضيحي 148</t>
        </is>
      </c>
      <c r="E149" s="14" t="inlineStr">
        <is>
          <t>22/2026</t>
        </is>
      </c>
      <c r="G149" s="14" t="inlineStr">
        <is>
          <t>مجلس الشؤون الاستراتيجية</t>
        </is>
      </c>
      <c r="H149" s="14" t="n">
        <v>2026</v>
      </c>
      <c r="I149" s="102" t="n">
        <v>46120</v>
      </c>
      <c r="K149" s="14" t="inlineStr">
        <is>
          <t>هيئة الطرق والمواصلات</t>
        </is>
      </c>
      <c r="L149" s="101" t="n"/>
      <c r="M149" s="14" t="inlineStr">
        <is>
          <t>التنمية المستدامة</t>
        </is>
      </c>
      <c r="O149" s="14" t="inlineStr">
        <is>
          <t>مغلق (لا يتطلب متابعة)</t>
        </is>
      </c>
    </row>
    <row r="150">
      <c r="A150" s="101" t="inlineStr">
        <is>
          <t>Sustainability_Performace_Tracker.xlsx</t>
        </is>
      </c>
      <c r="B150" s="14" t="inlineStr">
        <is>
          <t>ضمن الخطة</t>
        </is>
      </c>
      <c r="C150" t="inlineStr">
        <is>
          <t>مدير توضيحي 3</t>
        </is>
      </c>
      <c r="D150" t="inlineStr">
        <is>
          <t>قرار توضيحي 149</t>
        </is>
      </c>
      <c r="E150" s="14" t="n">
        <v>46174</v>
      </c>
      <c r="G150" s="14" t="inlineStr">
        <is>
          <t>مجلس الشؤون الاستراتيجية</t>
        </is>
      </c>
      <c r="H150" s="14" t="n">
        <v>2026</v>
      </c>
      <c r="I150" s="102" t="n">
        <v>46048</v>
      </c>
      <c r="K150" s="14" t="inlineStr">
        <is>
          <t>هيئة الطرق والمواصلات</t>
        </is>
      </c>
      <c r="L150" s="101" t="n"/>
      <c r="M150" s="14" t="inlineStr">
        <is>
          <t>التنمية المستدامة</t>
        </is>
      </c>
      <c r="O150" s="14" t="inlineStr">
        <is>
          <t>مغلق (لا يتطلب متابعة)</t>
        </is>
      </c>
    </row>
    <row r="151">
      <c r="A151" s="101" t="inlineStr">
        <is>
          <t>Sustainability_Performace_Tracker.xlsx</t>
        </is>
      </c>
      <c r="C151" t="inlineStr">
        <is>
          <t>مدير توضيحي 1</t>
        </is>
      </c>
      <c r="D151" t="inlineStr">
        <is>
          <t>قرار توضيحي 150</t>
        </is>
      </c>
      <c r="E151" s="14" t="n">
        <v>7</v>
      </c>
      <c r="G151" s="14" t="inlineStr">
        <is>
          <t>مجلس الشؤون الاستراتيجية</t>
        </is>
      </c>
      <c r="H151" s="14" t="n">
        <v>2026</v>
      </c>
      <c r="I151" s="102" t="n"/>
      <c r="K151" s="14" t="inlineStr">
        <is>
          <t>القيادة العامة لشرطة دبي</t>
        </is>
      </c>
      <c r="L151" s="101" t="n"/>
      <c r="M151" s="14" t="inlineStr">
        <is>
          <t>التنمية المستدامة</t>
        </is>
      </c>
    </row>
    <row r="152">
      <c r="A152" s="101" t="inlineStr">
        <is>
          <t>Sustainability_Performace_Tracker.xlsx</t>
        </is>
      </c>
      <c r="C152" t="inlineStr">
        <is>
          <t>مدير توضيحي 2</t>
        </is>
      </c>
      <c r="D152" t="inlineStr">
        <is>
          <t>قرار توضيحي 151</t>
        </is>
      </c>
      <c r="E152" s="14" t="n">
        <v>8</v>
      </c>
      <c r="G152" s="14" t="inlineStr">
        <is>
          <t>مجلس الشؤون الاستراتيجية</t>
        </is>
      </c>
      <c r="H152" s="14" t="n">
        <v>2026</v>
      </c>
      <c r="I152" s="102" t="n"/>
      <c r="K152" s="14" t="inlineStr">
        <is>
          <t>القيادة العامة لشرطة دبي</t>
        </is>
      </c>
      <c r="L152" s="101" t="n"/>
      <c r="M152" s="14" t="inlineStr">
        <is>
          <t>التنمية المستدامة</t>
        </is>
      </c>
    </row>
    <row r="153">
      <c r="A153" s="101" t="inlineStr">
        <is>
          <t>Sustainability_Performace_Tracker.xlsx</t>
        </is>
      </c>
      <c r="C153" t="inlineStr">
        <is>
          <t>مدير توضيحي 3</t>
        </is>
      </c>
      <c r="D153" t="inlineStr">
        <is>
          <t>قرار توضيحي 152</t>
        </is>
      </c>
      <c r="E153" s="14" t="n">
        <v>29</v>
      </c>
      <c r="G153" s="14" t="inlineStr">
        <is>
          <t>مجلس الشؤون الاستراتيجية</t>
        </is>
      </c>
      <c r="H153" s="14" t="n">
        <v>2026</v>
      </c>
      <c r="I153" s="102" t="n"/>
      <c r="K153" s="14" t="inlineStr">
        <is>
          <t>القيادة العامة لشرطة دبي</t>
        </is>
      </c>
      <c r="L153" s="101" t="n"/>
      <c r="M153" s="14" t="inlineStr">
        <is>
          <t>التنمية المستدامة</t>
        </is>
      </c>
    </row>
    <row r="154">
      <c r="A154" s="101" t="inlineStr">
        <is>
          <t>Sustainability_Performace_Tracker.xlsx</t>
        </is>
      </c>
      <c r="C154" t="inlineStr">
        <is>
          <t>مدير توضيحي 1</t>
        </is>
      </c>
      <c r="D154" t="inlineStr">
        <is>
          <t>قرار توضيحي 153</t>
        </is>
      </c>
      <c r="E154" s="14" t="n">
        <v>34</v>
      </c>
      <c r="G154" s="14" t="inlineStr">
        <is>
          <t>مجلس الشؤون الاستراتيجية</t>
        </is>
      </c>
      <c r="H154" s="14" t="n">
        <v>2026</v>
      </c>
      <c r="I154" s="102" t="n"/>
      <c r="K154" s="14" t="inlineStr">
        <is>
          <t>اللجنة العليا للتخطيط الحضري</t>
        </is>
      </c>
      <c r="L154" s="101" t="n"/>
      <c r="M154" s="14" t="inlineStr">
        <is>
          <t>التنمية المستدامة</t>
        </is>
      </c>
    </row>
    <row r="155">
      <c r="A155" s="101" t="inlineStr">
        <is>
          <t>Sustainability_Performace_Tracker.xlsx</t>
        </is>
      </c>
      <c r="C155" t="inlineStr">
        <is>
          <t>مدير توضيحي 2</t>
        </is>
      </c>
      <c r="D155" t="inlineStr">
        <is>
          <t>قرار توضيحي 154</t>
        </is>
      </c>
      <c r="E155" s="14" t="n">
        <v>13</v>
      </c>
      <c r="G155" s="14" t="inlineStr">
        <is>
          <t>مجلس الشؤون الاستراتيجية</t>
        </is>
      </c>
      <c r="H155" s="14" t="n">
        <v>2026</v>
      </c>
      <c r="I155" s="102" t="n"/>
      <c r="K155" s="14" t="inlineStr">
        <is>
          <t>اللجنة العليا للتخطيط الحضري</t>
        </is>
      </c>
      <c r="L155" s="101" t="inlineStr">
        <is>
          <t>اللجنة العليا للتخطيط الحضري و بلدية دبي</t>
        </is>
      </c>
      <c r="M155" s="14" t="inlineStr">
        <is>
          <t>التنمية المستدامة</t>
        </is>
      </c>
    </row>
    <row r="156">
      <c r="A156" s="101" t="inlineStr">
        <is>
          <t>Sustainability_Performace_Tracker.xlsx</t>
        </is>
      </c>
      <c r="C156" t="inlineStr">
        <is>
          <t>مدير توضيحي 3</t>
        </is>
      </c>
      <c r="D156" t="inlineStr">
        <is>
          <t>قرار توضيحي 155</t>
        </is>
      </c>
      <c r="E156" s="14" t="n">
        <v>16</v>
      </c>
      <c r="G156" s="14" t="inlineStr">
        <is>
          <t>مجلس الشؤون الاستراتيجية</t>
        </is>
      </c>
      <c r="H156" s="14" t="n">
        <v>2026</v>
      </c>
      <c r="I156" s="102" t="n"/>
      <c r="K156" s="14" t="inlineStr">
        <is>
          <t>اللجنة العليا للتشريعات في إمارة دبي</t>
        </is>
      </c>
      <c r="L156" s="101" t="n"/>
      <c r="M156" s="14" t="inlineStr">
        <is>
          <t>التنمية المستدامة</t>
        </is>
      </c>
    </row>
    <row r="157">
      <c r="A157" s="101" t="inlineStr">
        <is>
          <t>Sustainability_Performace_Tracker.xlsx</t>
        </is>
      </c>
      <c r="C157" t="inlineStr">
        <is>
          <t>مدير توضيحي 1</t>
        </is>
      </c>
      <c r="D157" t="inlineStr">
        <is>
          <t>قرار توضيحي 156</t>
        </is>
      </c>
      <c r="E157" s="14" t="n">
        <v>26</v>
      </c>
      <c r="G157" s="14" t="inlineStr">
        <is>
          <t>مجلس الشؤون الاستراتيجية</t>
        </is>
      </c>
      <c r="H157" s="14" t="n">
        <v>2026</v>
      </c>
      <c r="I157" s="102" t="n"/>
      <c r="K157" s="14" t="inlineStr">
        <is>
          <t>النيابة العامة</t>
        </is>
      </c>
      <c r="L157" s="101" t="n"/>
      <c r="M157" s="14" t="inlineStr">
        <is>
          <t>التنمية المستدامة</t>
        </is>
      </c>
    </row>
    <row r="158">
      <c r="A158" s="101" t="inlineStr">
        <is>
          <t>Sustainability_Performace_Tracker.xlsx</t>
        </is>
      </c>
      <c r="C158" t="inlineStr">
        <is>
          <t>مدير توضيحي 2</t>
        </is>
      </c>
      <c r="D158" t="inlineStr">
        <is>
          <t>قرار توضيحي 157</t>
        </is>
      </c>
      <c r="E158" s="14" t="n">
        <v>4</v>
      </c>
      <c r="G158" s="14" t="inlineStr">
        <is>
          <t>مجلس الشؤون الاستراتيجية</t>
        </is>
      </c>
      <c r="H158" s="14" t="n">
        <v>2026</v>
      </c>
      <c r="I158" s="102" t="n"/>
      <c r="K158" s="14" t="inlineStr">
        <is>
          <t>محاكم دبي</t>
        </is>
      </c>
      <c r="L158" s="101" t="n"/>
      <c r="M158" s="14" t="inlineStr">
        <is>
          <t>التنمية المستدامة</t>
        </is>
      </c>
    </row>
    <row r="159">
      <c r="A159" s="101" t="inlineStr">
        <is>
          <t>Sustainability_Performace_Tracker.xlsx</t>
        </is>
      </c>
      <c r="C159" t="inlineStr">
        <is>
          <t>مدير توضيحي 3</t>
        </is>
      </c>
      <c r="D159" t="inlineStr">
        <is>
          <t>قرار توضيحي 158</t>
        </is>
      </c>
      <c r="E159" s="14" t="n">
        <v>5</v>
      </c>
      <c r="G159" s="14" t="inlineStr">
        <is>
          <t>مجلس الشؤون الاستراتيجية</t>
        </is>
      </c>
      <c r="H159" s="14" t="n">
        <v>2026</v>
      </c>
      <c r="I159" s="102" t="n"/>
      <c r="K159" s="14" t="inlineStr">
        <is>
          <t>محاكم دبي</t>
        </is>
      </c>
      <c r="L159" s="101" t="n"/>
      <c r="M159" s="14" t="inlineStr">
        <is>
          <t>التنمية المستدامة</t>
        </is>
      </c>
    </row>
    <row r="160">
      <c r="A160" s="101" t="inlineStr">
        <is>
          <t>Sustainability_Performace_Tracker.xlsx</t>
        </is>
      </c>
      <c r="C160" t="inlineStr">
        <is>
          <t>مدير توضيحي 1</t>
        </is>
      </c>
      <c r="D160" t="inlineStr">
        <is>
          <t>قرار توضيحي 159</t>
        </is>
      </c>
      <c r="E160" s="14" t="n">
        <v>17</v>
      </c>
      <c r="G160" s="14" t="inlineStr">
        <is>
          <t>مجلس الشؤون الاستراتيجية</t>
        </is>
      </c>
      <c r="H160" s="14" t="n">
        <v>2026</v>
      </c>
      <c r="I160" s="102" t="n"/>
      <c r="K160" s="14" t="inlineStr">
        <is>
          <t>مركز دبي للمرونة</t>
        </is>
      </c>
      <c r="L160" s="101" t="n"/>
      <c r="M160" s="14" t="inlineStr">
        <is>
          <t>التنمية المستدامة</t>
        </is>
      </c>
    </row>
    <row r="161">
      <c r="A161" s="101" t="inlineStr">
        <is>
          <t>Sustainability_Performace_Tracker.xlsx</t>
        </is>
      </c>
      <c r="C161" t="inlineStr">
        <is>
          <t>مدير توضيحي 2</t>
        </is>
      </c>
      <c r="D161" t="inlineStr">
        <is>
          <t>قرار توضيحي 160</t>
        </is>
      </c>
      <c r="E161" s="14" t="n">
        <v>9</v>
      </c>
      <c r="G161" s="14" t="inlineStr">
        <is>
          <t>مجلس الشؤون الاستراتيجية</t>
        </is>
      </c>
      <c r="H161" s="14" t="n">
        <v>2026</v>
      </c>
      <c r="I161" s="102" t="n"/>
      <c r="K161" s="14" t="inlineStr">
        <is>
          <t>هيئة الصحة بدبي</t>
        </is>
      </c>
      <c r="L161" s="101" t="n"/>
      <c r="M161" s="14" t="inlineStr">
        <is>
          <t>التنمية المستدامة</t>
        </is>
      </c>
    </row>
    <row r="162">
      <c r="A162" s="101" t="inlineStr">
        <is>
          <t>Sustainability_Performace_Tracker.xlsx</t>
        </is>
      </c>
      <c r="C162" t="inlineStr">
        <is>
          <t>مدير توضيحي 3</t>
        </is>
      </c>
      <c r="D162" t="inlineStr">
        <is>
          <t>قرار توضيحي 161</t>
        </is>
      </c>
      <c r="E162" s="14" t="n">
        <v>19</v>
      </c>
      <c r="G162" s="14" t="inlineStr">
        <is>
          <t>مجلس الشؤون الاستراتيجية</t>
        </is>
      </c>
      <c r="H162" s="14" t="n">
        <v>2026</v>
      </c>
      <c r="I162" s="102" t="n"/>
      <c r="K162" s="14" t="inlineStr">
        <is>
          <t>هيئة الصحة بدبي</t>
        </is>
      </c>
      <c r="L162" s="101" t="n"/>
      <c r="M162" s="14" t="inlineStr">
        <is>
          <t>التنمية المستدامة</t>
        </is>
      </c>
    </row>
    <row r="163">
      <c r="A163" s="101" t="inlineStr">
        <is>
          <t>Sustainability_Performace_Tracker.xlsx</t>
        </is>
      </c>
      <c r="C163" t="inlineStr">
        <is>
          <t>مدير توضيحي 1</t>
        </is>
      </c>
      <c r="D163" t="inlineStr">
        <is>
          <t>قرار توضيحي 162</t>
        </is>
      </c>
      <c r="E163" s="14" t="n">
        <v>14</v>
      </c>
      <c r="G163" s="14" t="inlineStr">
        <is>
          <t>مجلس الشؤون الاستراتيجية</t>
        </is>
      </c>
      <c r="H163" s="14" t="n">
        <v>2026</v>
      </c>
      <c r="I163" s="102" t="n"/>
      <c r="K163" s="14" t="inlineStr">
        <is>
          <t>هيئة الطرق والمواصلات</t>
        </is>
      </c>
      <c r="L163" s="101" t="n"/>
      <c r="M163" s="14" t="inlineStr">
        <is>
          <t>التنمية المستدامة</t>
        </is>
      </c>
    </row>
    <row r="164">
      <c r="A164" s="101" t="inlineStr">
        <is>
          <t>Sustainability_Performace_Tracker.xlsx</t>
        </is>
      </c>
      <c r="C164" t="inlineStr">
        <is>
          <t>مدير توضيحي 2</t>
        </is>
      </c>
      <c r="D164" t="inlineStr">
        <is>
          <t>قرار توضيحي 163</t>
        </is>
      </c>
      <c r="E164" s="14" t="n">
        <v>20</v>
      </c>
      <c r="G164" s="14" t="inlineStr">
        <is>
          <t>مجلس الشؤون الاستراتيجية</t>
        </is>
      </c>
      <c r="H164" s="14" t="n">
        <v>2026</v>
      </c>
      <c r="I164" s="102" t="n"/>
      <c r="K164" s="14" t="inlineStr">
        <is>
          <t>هيئة الطرق والمواصلات</t>
        </is>
      </c>
      <c r="L164" s="101" t="n"/>
      <c r="M164" s="14" t="inlineStr">
        <is>
          <t>التنمية المستدامة</t>
        </is>
      </c>
    </row>
    <row r="165">
      <c r="A165" s="101" t="inlineStr">
        <is>
          <t>Sustainability_Performace_Tracker.xlsx</t>
        </is>
      </c>
      <c r="C165" t="inlineStr">
        <is>
          <t>مدير توضيحي 3</t>
        </is>
      </c>
      <c r="D165" t="inlineStr">
        <is>
          <t>قرار توضيحي 164</t>
        </is>
      </c>
      <c r="E165" s="14" t="n">
        <v>1</v>
      </c>
      <c r="G165" s="14" t="inlineStr">
        <is>
          <t>مجلس الشؤون الاستراتيجية</t>
        </is>
      </c>
      <c r="H165" s="14" t="n">
        <v>2026</v>
      </c>
      <c r="I165" s="102" t="n"/>
      <c r="K165" s="14" t="inlineStr">
        <is>
          <t>هيئة دبي للبيئة والتغير المناخي</t>
        </is>
      </c>
      <c r="L165" s="101" t="n"/>
      <c r="M165" s="14" t="inlineStr">
        <is>
          <t>التنمية المستدامة</t>
        </is>
      </c>
    </row>
  </sheetData>
  <conditionalFormatting sqref="D1:D1048576">
    <cfRule type="duplicateValues" priority="1" dxfId="0"/>
  </conditionalFormatting>
  <dataValidations count="11">
    <dataValidation sqref="L165" showDropDown="0" showInputMessage="1" showErrorMessage="1" allowBlank="1" errorTitle="اختيار خاطئ!" error="يرجى الاختيار من القائمة فقط."/>
    <dataValidation sqref="G2:G165" showDropDown="0" showInputMessage="1" showErrorMessage="1" allowBlank="1" errorTitle="اختيار خاطئ!" error="يرجى الاختيار من القائمة فقط." type="list">
      <formula1>IssuersList</formula1>
    </dataValidation>
    <dataValidation sqref="B2:B165" showDropDown="0" showInputMessage="1" showErrorMessage="1" allowBlank="1" errorTitle="اختيار خاطئ!" error="يرجى الاختيار من القائمة فقط." type="list">
      <formula1>PlanStatusList</formula1>
    </dataValidation>
    <dataValidation sqref="H2:H165" showDropDown="0" showInputMessage="1" showErrorMessage="1" allowBlank="1" errorTitle="اختيار خاطئ!" error="يرجى الاختيار من القائمة فقط." type="list">
      <formula1>YearsList</formula1>
    </dataValidation>
    <dataValidation sqref="K2:K165" showDropDown="0" showInputMessage="1" showErrorMessage="1" allowBlank="1" errorTitle="اختيار خاطئ!" error="يرجى الاختيار من القائمة فقط." type="list">
      <formula1>EntitiesList</formula1>
    </dataValidation>
    <dataValidation sqref="M2:M165" showDropDown="0" showInputMessage="1" showErrorMessage="1" allowBlank="1" errorTitle="اختيار خاطئ!" error="يرجى الاختيار من القائمة فقط." type="list">
      <formula1>SectorsList</formula1>
    </dataValidation>
    <dataValidation sqref="N2:N165" showDropDown="0" showInputMessage="1" showErrorMessage="1" allowBlank="1" errorTitle="اختيار خاطئ!" error="يرجى الاختيار من القائمة فقط." type="list">
      <formula1>DepartmentsList</formula1>
    </dataValidation>
    <dataValidation sqref="O2:O165" showDropDown="0" showInputMessage="1" showErrorMessage="1" allowBlank="1" errorTitle="اختيار خاطئ!" error="يرجى الاختيار من القائمة فقط." type="list">
      <formula1>FollowUpList</formula1>
    </dataValidation>
    <dataValidation sqref="R2:R165" showDropDown="0" showInputMessage="1" showErrorMessage="1" allowBlank="1" errorTitle="اختيار خاطئ!" error="يرجى الاختيار من القائمة فقط." type="list">
      <formula1>WorkStatusList</formula1>
    </dataValidation>
    <dataValidation sqref="S2:S165" showDropDown="0" showInputMessage="1" showErrorMessage="1" allowBlank="1" errorTitle="اختيار خاطئ!" error="يرجى الاختيار من القائمة فقط." type="list">
      <formula1>CompletionList</formula1>
    </dataValidation>
    <dataValidation sqref="T2:T165" showDropDown="0" showInputMessage="1" showErrorMessage="1" allowBlank="1" errorTitle="اختيار خاطئ!" error="يرجى الاختيار من القائمة فقط." type="list">
      <formula1>YesNoList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92"/>
  <sheetViews>
    <sheetView rightToLeft="1" zoomScaleNormal="100" workbookViewId="0">
      <pane ySplit="1" topLeftCell="A2" activePane="bottomLeft" state="frozen"/>
      <selection activeCell="F1" sqref="F1"/>
      <selection pane="bottomLeft" activeCell="A1" sqref="A1"/>
    </sheetView>
  </sheetViews>
  <sheetFormatPr baseColWidth="8" defaultColWidth="25.7109375" defaultRowHeight="18.75"/>
  <cols>
    <col width="4.28515625" bestFit="1" customWidth="1" style="14" min="1" max="1"/>
    <col width="12.42578125" bestFit="1" customWidth="1" style="14" min="2" max="2"/>
    <col width="13.42578125" bestFit="1" customWidth="1" style="7" min="3" max="3"/>
    <col width="27.85546875" bestFit="1" customWidth="1" style="14" min="4" max="4"/>
    <col width="33.140625" bestFit="1" customWidth="1" style="14" min="5" max="5"/>
    <col width="18.28515625" bestFit="1" customWidth="1" style="14" min="6" max="6"/>
    <col width="18.140625" bestFit="1" customWidth="1" style="14" min="7" max="7"/>
    <col width="20.7109375" bestFit="1" customWidth="1" style="14" min="8" max="8"/>
    <col width="10.85546875" bestFit="1" customWidth="1" style="14" min="9" max="9"/>
    <col width="28.140625" bestFit="1" customWidth="1" style="14" min="10" max="10"/>
    <col width="16.7109375" bestFit="1" customWidth="1" style="14" min="11" max="11"/>
    <col width="12.5703125" bestFit="1" customWidth="1" style="14" min="12" max="12"/>
    <col width="13.28515625" bestFit="1" customWidth="1" style="14" min="13" max="13"/>
    <col width="11" bestFit="1" customWidth="1" style="14" min="14" max="14"/>
    <col width="9.7109375" bestFit="1" customWidth="1" style="14" min="15" max="15"/>
    <col width="8.140625" bestFit="1" customWidth="1" style="14" min="16" max="16"/>
    <col width="29.28515625" bestFit="1" customWidth="1" style="7" min="17" max="17"/>
    <col width="14" bestFit="1" customWidth="1" style="7" min="18" max="18"/>
    <col width="13.7109375" bestFit="1" customWidth="1" style="7" min="19" max="19"/>
    <col width="7.28515625" bestFit="1" customWidth="1" style="7" min="20" max="20"/>
    <col width="9.85546875" bestFit="1" customWidth="1" style="14" min="21" max="21"/>
    <col width="12.140625" bestFit="1" customWidth="1" style="14" min="22" max="22"/>
    <col width="12.5703125" bestFit="1" customWidth="1" style="14" min="23" max="23"/>
    <col width="25.7109375" customWidth="1" style="14" min="24" max="16384"/>
  </cols>
  <sheetData>
    <row r="1">
      <c r="A1" s="14" t="inlineStr">
        <is>
          <t>#</t>
        </is>
      </c>
      <c r="B1" s="14" t="inlineStr">
        <is>
          <t>الرقم MCMS</t>
        </is>
      </c>
      <c r="C1" s="7" t="inlineStr">
        <is>
          <t xml:space="preserve">عنوان التشريع </t>
        </is>
      </c>
      <c r="D1" s="14" t="inlineStr">
        <is>
          <t>القطاع</t>
        </is>
      </c>
      <c r="E1" s="14" t="inlineStr">
        <is>
          <t>الإدارة</t>
        </is>
      </c>
      <c r="F1" s="14" t="inlineStr">
        <is>
          <t>تاريخ استلام التشريع</t>
        </is>
      </c>
      <c r="G1" s="14" t="inlineStr">
        <is>
          <t>تاريخ التحويل للفريق</t>
        </is>
      </c>
      <c r="H1" s="14" t="inlineStr">
        <is>
          <t xml:space="preserve">تاريخ الإنجاز وفق (SLC) </t>
        </is>
      </c>
      <c r="I1" s="14" t="inlineStr">
        <is>
          <t>تمديد حتى</t>
        </is>
      </c>
      <c r="J1" s="14" t="inlineStr">
        <is>
          <t>التاريخ المحدد من إدارة التشريعات</t>
        </is>
      </c>
      <c r="K1" s="14" t="inlineStr">
        <is>
          <t>تاريخ الانجاز الفعلي</t>
        </is>
      </c>
      <c r="L1" s="14" t="inlineStr">
        <is>
          <t>تاريخ الإرسال</t>
        </is>
      </c>
      <c r="M1" s="14" t="inlineStr">
        <is>
          <t>مؤشرات الأداء</t>
        </is>
      </c>
      <c r="N1" s="14" t="inlineStr">
        <is>
          <t xml:space="preserve">مستجدات </t>
        </is>
      </c>
      <c r="O1" s="7" t="inlineStr">
        <is>
          <t xml:space="preserve">الحالة </t>
        </is>
      </c>
      <c r="P1" s="7" t="inlineStr">
        <is>
          <t xml:space="preserve">الإصدار </t>
        </is>
      </c>
      <c r="Q1" s="14" t="inlineStr">
        <is>
          <t xml:space="preserve">الجهة المرسلة </t>
        </is>
      </c>
      <c r="R1" s="14" t="inlineStr">
        <is>
          <t xml:space="preserve">مرحلة التشريع </t>
        </is>
      </c>
      <c r="S1" s="14" t="inlineStr">
        <is>
          <t>طبيعة التشريع</t>
        </is>
      </c>
      <c r="T1" s="14" t="inlineStr">
        <is>
          <t>السنة</t>
        </is>
      </c>
      <c r="U1" s="75" t="inlineStr">
        <is>
          <t>Late KPI</t>
        </is>
      </c>
      <c r="V1" s="77" t="inlineStr">
        <is>
          <t>تجاوز الموعد</t>
        </is>
      </c>
      <c r="W1" s="77" t="inlineStr">
        <is>
          <t>شهر التشريع</t>
        </is>
      </c>
    </row>
    <row r="2">
      <c r="A2" s="14" t="n">
        <v>121</v>
      </c>
      <c r="B2" s="14" t="n">
        <v>947</v>
      </c>
      <c r="C2" t="inlineStr">
        <is>
          <t>تشريع توضيحي 001</t>
        </is>
      </c>
      <c r="D2" s="14" t="inlineStr">
        <is>
          <t>الاتصال الحكومي وشؤون الأمانة العامة</t>
        </is>
      </c>
      <c r="E2" s="14" t="inlineStr">
        <is>
          <t>الاتصال الحكومي</t>
        </is>
      </c>
      <c r="F2" s="268" t="n">
        <v>46198</v>
      </c>
      <c r="G2" s="268" t="n">
        <v>46198</v>
      </c>
      <c r="H2" s="268" t="n">
        <v>46220</v>
      </c>
      <c r="I2" s="268" t="n"/>
      <c r="J2" s="268" t="n">
        <v>46217</v>
      </c>
      <c r="K2" s="268" t="n">
        <v>46220</v>
      </c>
      <c r="L2" s="268" t="n">
        <v>46220</v>
      </c>
      <c r="M2" s="268" t="inlineStr">
        <is>
          <t>في الموعد</t>
        </is>
      </c>
      <c r="N2" s="268" t="n"/>
      <c r="O2" s="7" t="inlineStr">
        <is>
          <t>مغلق</t>
        </is>
      </c>
      <c r="P2" s="7" t="inlineStr">
        <is>
          <t>محلي</t>
        </is>
      </c>
      <c r="Q2" s="14" t="inlineStr">
        <is>
          <t>اللجنة العليا للتشريعات في إمارة دبي</t>
        </is>
      </c>
      <c r="R2" s="14" t="n"/>
      <c r="S2" s="14" t="n"/>
      <c r="T2" s="14" t="n">
        <v>2026</v>
      </c>
      <c r="U2" s="14">
        <f>IF(
   K2&lt;&gt;"",
   "",
   IF(
      IF(I2&lt;&gt;"",I2,H2)="",
      "",
      IF(
         ValidationDate&gt;IF(I2&lt;&gt;"",I2,H2),
         "متأخر",
         ""
      )
   )
)</f>
        <v/>
      </c>
      <c r="V2" s="14">
        <f>IF(
OR(
M2&lt;&gt;"في الموعد",
NOT(ISNUMBER(K2)),
NOT(ISNUMBER(H2))
),
"",
IF(
INT(K2)&gt;INT(H2),
"متأخر",
""
)
)</f>
        <v/>
      </c>
      <c r="W2" s="14">
        <f>IF(COUNT(F2:K2)=0,"",TEXT(IF(K2&lt;&gt;"",K2,IF(I2&lt;&gt;"",I2,IF(J2&lt;&gt;"",J2,IF(H2&lt;&gt;"",H2,IF(G2&lt;&gt;"",G2,F2))))),"[$-en-US]mmm"))</f>
        <v/>
      </c>
    </row>
    <row r="3">
      <c r="A3" s="14" t="n">
        <v>133</v>
      </c>
      <c r="B3" s="14" t="n">
        <v>1067</v>
      </c>
      <c r="C3" t="inlineStr">
        <is>
          <t>تشريع توضيحي 002</t>
        </is>
      </c>
      <c r="D3" s="14" t="inlineStr">
        <is>
          <t>الاتصال الحكومي وشؤون الأمانة العامة</t>
        </is>
      </c>
      <c r="E3" s="14" t="inlineStr">
        <is>
          <t>الاتصال الحكومي</t>
        </is>
      </c>
      <c r="F3" s="268" t="n">
        <v>46217</v>
      </c>
      <c r="G3" s="268" t="n">
        <v>46217</v>
      </c>
      <c r="H3" s="268" t="n">
        <v>46220</v>
      </c>
      <c r="I3" s="268" t="n"/>
      <c r="J3" s="268" t="n">
        <v>46218</v>
      </c>
      <c r="K3" s="268" t="n">
        <v>46219</v>
      </c>
      <c r="L3" s="268" t="n">
        <v>46220</v>
      </c>
      <c r="M3" s="268" t="inlineStr">
        <is>
          <t>في الموعد</t>
        </is>
      </c>
      <c r="N3" s="268" t="n"/>
      <c r="O3" s="7" t="inlineStr">
        <is>
          <t>مغلق</t>
        </is>
      </c>
      <c r="P3" s="7" t="inlineStr">
        <is>
          <t>اتحادي</t>
        </is>
      </c>
      <c r="Q3" s="14" t="inlineStr">
        <is>
          <t>اللجنة العليا للتشريعات في إمارة دبي</t>
        </is>
      </c>
      <c r="R3" s="14" t="n"/>
      <c r="S3" s="14" t="n"/>
      <c r="T3" s="14" t="n">
        <v>2026</v>
      </c>
      <c r="U3" s="14">
        <f>IF(
K3&lt;&gt;"",
"",
IF(
IF(I3&lt;&gt;"",I3,H3)="",
"",
IF(
ValidationDate&gt;IF(I3&lt;&gt;"",I3,H3),
"متأخر",
""
)
)
)</f>
        <v/>
      </c>
      <c r="V3" s="14">
        <f>IF(
OR(
M3&lt;&gt;"في الموعد",
NOT(ISNUMBER(K3)),
NOT(ISNUMBER(H3))
),
"",
IF(
INT(K3)&gt;INT(H3),
"متأخر",
""
)
)</f>
        <v/>
      </c>
      <c r="W3" s="14">
        <f>IF(COUNT(F3:K3)=0,"",TEXT(IF(K3&lt;&gt;"",K3,IF(I3&lt;&gt;"",I3,IF(J3&lt;&gt;"",J3,IF(H3&lt;&gt;"",H3,IF(G3&lt;&gt;"",G3,F3))))),"[$-en-US]mmm"))</f>
        <v/>
      </c>
    </row>
    <row r="4">
      <c r="A4" s="14" t="n">
        <v>21</v>
      </c>
      <c r="B4" s="14" t="n">
        <v>212</v>
      </c>
      <c r="C4" t="inlineStr">
        <is>
          <t>تشريع توضيحي 003</t>
        </is>
      </c>
      <c r="D4" s="14" t="inlineStr">
        <is>
          <t>الاتصال الحكومي وشؤون الأمانة العامة</t>
        </is>
      </c>
      <c r="E4" s="14" t="inlineStr">
        <is>
          <t>الخدمات المؤسسية</t>
        </is>
      </c>
      <c r="F4" s="268" t="n">
        <v>46063</v>
      </c>
      <c r="G4" s="268" t="n">
        <v>46063</v>
      </c>
      <c r="H4" s="268" t="n">
        <v>46080</v>
      </c>
      <c r="I4" s="268" t="n"/>
      <c r="J4" s="268" t="n">
        <v>46077</v>
      </c>
      <c r="K4" s="268" t="n">
        <v>46076</v>
      </c>
      <c r="L4" s="268" t="n">
        <v>46080</v>
      </c>
      <c r="M4" s="268" t="inlineStr">
        <is>
          <t>في الموعد</t>
        </is>
      </c>
      <c r="N4" s="268" t="n"/>
      <c r="O4" s="7" t="inlineStr">
        <is>
          <t>مغلق</t>
        </is>
      </c>
      <c r="P4" s="7" t="inlineStr">
        <is>
          <t>اتحادي</t>
        </is>
      </c>
      <c r="Q4" s="14" t="inlineStr">
        <is>
          <t>اللجنة العليا للتشريعات في إمارة دبي</t>
        </is>
      </c>
      <c r="R4" s="14" t="n"/>
      <c r="S4" s="14" t="n"/>
      <c r="T4" s="14" t="n">
        <v>2026</v>
      </c>
      <c r="U4" s="14">
        <f>IF(
K4&lt;&gt;"",
"",
IF(
IF(I4&lt;&gt;"",I4,H4)="",
"",
IF(
ValidationDate&gt;IF(I4&lt;&gt;"",I4,H4),
"متأخر",
""
)
)
)</f>
        <v/>
      </c>
      <c r="V4" s="14">
        <f>IF(
OR(
M4&lt;&gt;"في الموعد",
NOT(ISNUMBER(K4)),
NOT(ISNUMBER(H4))
),
"",
IF(
INT(K4)&gt;INT(H4),
"متأخر",
""
)
)</f>
        <v/>
      </c>
      <c r="W4" s="14">
        <f>IF(COUNT(F4:K4)=0,"",TEXT(IF(K4&lt;&gt;"",K4,IF(I4&lt;&gt;"",I4,IF(J4&lt;&gt;"",J4,IF(H4&lt;&gt;"",H4,IF(G4&lt;&gt;"",G4,F4))))),"[$-en-US]mmm"))</f>
        <v/>
      </c>
    </row>
    <row r="5">
      <c r="A5" s="14" t="n">
        <v>46</v>
      </c>
      <c r="B5" s="14" t="n">
        <v>428</v>
      </c>
      <c r="C5" t="inlineStr">
        <is>
          <t>تشريع توضيحي 004</t>
        </is>
      </c>
      <c r="D5" s="14" t="inlineStr">
        <is>
          <t>الاتصال الحكومي وشؤون الأمانة العامة</t>
        </is>
      </c>
      <c r="E5" s="14" t="inlineStr">
        <is>
          <t>تميز الموارد البشرية</t>
        </is>
      </c>
      <c r="F5" s="268" t="n">
        <v>46099</v>
      </c>
      <c r="G5" s="268" t="n">
        <v>46099</v>
      </c>
      <c r="H5" s="268" t="n">
        <v>46129</v>
      </c>
      <c r="I5" s="268" t="n"/>
      <c r="J5" s="268" t="n">
        <v>46126</v>
      </c>
      <c r="K5" s="268" t="n">
        <v>46126</v>
      </c>
      <c r="L5" s="268" t="n">
        <v>46127</v>
      </c>
      <c r="M5" s="268" t="inlineStr">
        <is>
          <t>في الموعد</t>
        </is>
      </c>
      <c r="N5" s="268" t="n"/>
      <c r="O5" s="7" t="inlineStr">
        <is>
          <t>مغلق</t>
        </is>
      </c>
      <c r="P5" s="7" t="inlineStr">
        <is>
          <t>محلي</t>
        </is>
      </c>
      <c r="Q5" s="14" t="inlineStr">
        <is>
          <t>اللجنة العليا للتشريعات في إمارة دبي</t>
        </is>
      </c>
      <c r="R5" s="14" t="n"/>
      <c r="S5" s="14" t="n"/>
      <c r="T5" s="14" t="n">
        <v>2026</v>
      </c>
      <c r="U5" s="14">
        <f>IF(
K5&lt;&gt;"",
"",
IF(
IF(I5&lt;&gt;"",I5,H5)="",
"",
IF(
ValidationDate&gt;IF(I5&lt;&gt;"",I5,H5),
"متأخر",
""
)
)
)</f>
        <v/>
      </c>
      <c r="V5" s="14">
        <f>IF(
OR(
M5&lt;&gt;"في الموعد",
NOT(ISNUMBER(K5)),
NOT(ISNUMBER(H5))
),
"",
IF(
INT(K5)&gt;INT(H5),
"متأخر",
""
)
)</f>
        <v/>
      </c>
      <c r="W5" s="14">
        <f>IF(COUNT(F5:K5)=0,"",TEXT(IF(K5&lt;&gt;"",K5,IF(I5&lt;&gt;"",I5,IF(J5&lt;&gt;"",J5,IF(H5&lt;&gt;"",H5,IF(G5&lt;&gt;"",G5,F5))))),"[$-en-US]mmm"))</f>
        <v/>
      </c>
    </row>
    <row r="6">
      <c r="A6" s="14" t="n">
        <v>56</v>
      </c>
      <c r="B6" s="14" t="n">
        <v>539</v>
      </c>
      <c r="C6" t="inlineStr">
        <is>
          <t>تشريع توضيحي 005</t>
        </is>
      </c>
      <c r="D6" s="14" t="inlineStr">
        <is>
          <t>الاتصال الحكومي وشؤون الأمانة العامة</t>
        </is>
      </c>
      <c r="E6" s="14" t="inlineStr">
        <is>
          <t>تميز الموارد البشرية</t>
        </is>
      </c>
      <c r="F6" s="268" t="n">
        <v>46125</v>
      </c>
      <c r="G6" s="268" t="n">
        <v>46126</v>
      </c>
      <c r="H6" s="268" t="n">
        <v>46143</v>
      </c>
      <c r="I6" s="268" t="n">
        <v>46149</v>
      </c>
      <c r="J6" s="268" t="n">
        <v>46147</v>
      </c>
      <c r="K6" s="268" t="n">
        <v>46147</v>
      </c>
      <c r="L6" s="268" t="n">
        <v>46176</v>
      </c>
      <c r="M6" s="268" t="inlineStr">
        <is>
          <t>في الموعد</t>
        </is>
      </c>
      <c r="N6" s="268" t="n"/>
      <c r="O6" s="7" t="inlineStr">
        <is>
          <t>مغلق</t>
        </is>
      </c>
      <c r="P6" s="7" t="inlineStr">
        <is>
          <t>محلي</t>
        </is>
      </c>
      <c r="Q6" s="14" t="inlineStr">
        <is>
          <t>دائرة الموارد البشرية لحكومة دبي</t>
        </is>
      </c>
      <c r="R6" s="14" t="n"/>
      <c r="S6" s="14" t="n"/>
      <c r="T6" s="14" t="n">
        <v>2026</v>
      </c>
      <c r="U6" s="14">
        <f>IF(
K6&lt;&gt;"",
"",
IF(
IF(I6&lt;&gt;"",I6,H6)="",
"",
IF(
ValidationDate&gt;IF(I6&lt;&gt;"",I6,H6),
"متأخر",
""
)
)
)</f>
        <v/>
      </c>
      <c r="V6" s="14">
        <f>IF(
OR(
M6&lt;&gt;"في الموعد",
NOT(ISNUMBER(K6)),
NOT(ISNUMBER(H6))
),
"",
IF(
INT(K6)&gt;INT(H6),
"متأخر",
""
)
)</f>
        <v/>
      </c>
      <c r="W6" s="14">
        <f>IF(COUNT(F6:K6)=0,"",TEXT(IF(K6&lt;&gt;"",K6,IF(I6&lt;&gt;"",I6,IF(J6&lt;&gt;"",J6,IF(H6&lt;&gt;"",H6,IF(G6&lt;&gt;"",G6,F6))))),"[$-en-US]mmm"))</f>
        <v/>
      </c>
    </row>
    <row r="7">
      <c r="A7" s="14" t="n">
        <v>86</v>
      </c>
      <c r="B7" s="14" t="n">
        <v>690</v>
      </c>
      <c r="C7" t="inlineStr">
        <is>
          <t>تشريع توضيحي 006</t>
        </is>
      </c>
      <c r="D7" s="14" t="inlineStr">
        <is>
          <t>الاتصال الحكومي وشؤون الأمانة العامة</t>
        </is>
      </c>
      <c r="E7" s="14" t="inlineStr">
        <is>
          <t>تميز الموارد البشرية</t>
        </is>
      </c>
      <c r="F7" s="268" t="n">
        <v>46147</v>
      </c>
      <c r="G7" s="268" t="n">
        <v>46148</v>
      </c>
      <c r="H7" s="268" t="n">
        <v>46178</v>
      </c>
      <c r="I7" s="268" t="n"/>
      <c r="J7" s="268" t="n">
        <v>46175</v>
      </c>
      <c r="K7" s="268" t="n">
        <v>46177</v>
      </c>
      <c r="L7" s="268" t="n">
        <v>46178</v>
      </c>
      <c r="M7" s="268" t="inlineStr">
        <is>
          <t>في الموعد</t>
        </is>
      </c>
      <c r="N7" s="268" t="n"/>
      <c r="O7" s="7" t="inlineStr">
        <is>
          <t>مغلق</t>
        </is>
      </c>
      <c r="P7" s="7" t="inlineStr">
        <is>
          <t>محلي</t>
        </is>
      </c>
      <c r="Q7" s="14" t="inlineStr">
        <is>
          <t>اللجنة العليا للتشريعات في إمارة دبي</t>
        </is>
      </c>
      <c r="R7" s="14" t="n"/>
      <c r="S7" s="14" t="n"/>
      <c r="T7" s="14" t="n">
        <v>2026</v>
      </c>
      <c r="U7" s="14">
        <f>IF(
K7&lt;&gt;"",
"",
IF(
IF(I7&lt;&gt;"",I7,H7)="",
"",
IF(
ValidationDate&gt;IF(I7&lt;&gt;"",I7,H7),
"متأخر",
""
)
)
)</f>
        <v/>
      </c>
      <c r="V7" s="14">
        <f>IF(
OR(
M7&lt;&gt;"في الموعد",
NOT(ISNUMBER(K7)),
NOT(ISNUMBER(H7))
),
"",
IF(
INT(K7)&gt;INT(H7),
"متأخر",
""
)
)</f>
        <v/>
      </c>
      <c r="W7" s="14">
        <f>IF(COUNT(F7:K7)=0,"",TEXT(IF(K7&lt;&gt;"",K7,IF(I7&lt;&gt;"",I7,IF(J7&lt;&gt;"",J7,IF(H7&lt;&gt;"",H7,IF(G7&lt;&gt;"",G7,F7))))),"[$-en-US]mmm"))</f>
        <v/>
      </c>
    </row>
    <row r="8">
      <c r="A8" s="14" t="n">
        <v>144</v>
      </c>
      <c r="B8" s="14" t="n">
        <v>1141</v>
      </c>
      <c r="C8" t="inlineStr">
        <is>
          <t>تشريع توضيحي 007</t>
        </is>
      </c>
      <c r="D8" s="14" t="inlineStr">
        <is>
          <t>الاتصال الحكومي وشؤون الأمانة العامة</t>
        </is>
      </c>
      <c r="E8" s="14" t="inlineStr">
        <is>
          <t>تميز الموارد البشرية</t>
        </is>
      </c>
      <c r="F8" s="268" t="n">
        <v>46230</v>
      </c>
      <c r="G8" s="268" t="n">
        <v>46230</v>
      </c>
      <c r="H8" s="268" t="n">
        <v>46241</v>
      </c>
      <c r="I8" s="268" t="n">
        <v>46248</v>
      </c>
      <c r="J8" s="268" t="n">
        <v>46238</v>
      </c>
      <c r="K8" s="268" t="n">
        <v>46244</v>
      </c>
      <c r="L8" s="268" t="n">
        <v>46247</v>
      </c>
      <c r="M8" s="268" t="inlineStr">
        <is>
          <t>في الموعد</t>
        </is>
      </c>
      <c r="N8" s="268" t="n"/>
      <c r="O8" s="7" t="inlineStr">
        <is>
          <t>مغلق</t>
        </is>
      </c>
      <c r="P8" s="7" t="inlineStr">
        <is>
          <t>محلي</t>
        </is>
      </c>
      <c r="Q8" s="14" t="inlineStr">
        <is>
          <t>اللجنة العليا للتشريعات في إمارة دبي</t>
        </is>
      </c>
      <c r="R8" s="14" t="n"/>
      <c r="S8" s="14" t="n"/>
      <c r="T8" s="14" t="n">
        <v>2026</v>
      </c>
      <c r="U8" s="14">
        <f>IF(
K8&lt;&gt;"",
"",
IF(
IF(I8&lt;&gt;"",I8,H8)="",
"",
IF(
ValidationDate&gt;IF(I8&lt;&gt;"",I8,H8),
"متأخر",
""
)
)
)</f>
        <v/>
      </c>
      <c r="V8" s="14">
        <f>IF(
OR(
M8&lt;&gt;"في الموعد",
NOT(ISNUMBER(K8)),
NOT(ISNUMBER(H8))
),
"",
IF(
INT(K8)&gt;INT(H8),
"متأخر",
""
)
)</f>
        <v/>
      </c>
      <c r="W8" s="14">
        <f>IF(COUNT(F8:K8)=0,"",TEXT(IF(K8&lt;&gt;"",K8,IF(I8&lt;&gt;"",I8,IF(J8&lt;&gt;"",J8,IF(H8&lt;&gt;"",H8,IF(G8&lt;&gt;"",G8,F8))))),"[$-en-US]mmm"))</f>
        <v/>
      </c>
    </row>
    <row r="9">
      <c r="A9" s="14" t="n">
        <v>173</v>
      </c>
      <c r="B9" s="14" t="n">
        <v>1281</v>
      </c>
      <c r="C9" t="inlineStr">
        <is>
          <t>تشريع توضيحي 008</t>
        </is>
      </c>
      <c r="D9" s="14" t="inlineStr">
        <is>
          <t>الاتصال الحكومي وشؤون الأمانة العامة</t>
        </is>
      </c>
      <c r="E9" s="14" t="inlineStr">
        <is>
          <t>تميز الموارد البشرية</t>
        </is>
      </c>
      <c r="F9" s="268" t="n">
        <v>46260</v>
      </c>
      <c r="G9" s="268" t="n">
        <v>46260</v>
      </c>
      <c r="H9" s="268" t="n">
        <v>46290</v>
      </c>
      <c r="I9" s="268" t="n">
        <v>46304</v>
      </c>
      <c r="J9" s="268" t="n">
        <v>46287</v>
      </c>
      <c r="K9" s="268" t="n"/>
      <c r="L9" s="268" t="n"/>
      <c r="M9" s="268" t="inlineStr">
        <is>
          <t>قيد الإجراء</t>
        </is>
      </c>
      <c r="N9" s="268" t="n"/>
      <c r="O9" s="7" t="inlineStr">
        <is>
          <t>قيد المراجعة</t>
        </is>
      </c>
      <c r="P9" s="7" t="inlineStr">
        <is>
          <t>محلي</t>
        </is>
      </c>
      <c r="Q9" s="14" t="inlineStr">
        <is>
          <t>اللجنة العليا للتشريعات في إمارة دبي</t>
        </is>
      </c>
      <c r="R9" s="14" t="n"/>
      <c r="S9" s="14" t="n"/>
      <c r="T9" s="14" t="n">
        <v>2026</v>
      </c>
      <c r="U9" s="14">
        <f>IF(
K9&lt;&gt;"",
"",
IF(
IF(I9&lt;&gt;"",I9,H9)="",
"",
IF(
ValidationDate&gt;IF(I9&lt;&gt;"",I9,H9),
"متأخر",
""
)
)
)</f>
        <v/>
      </c>
      <c r="V9" s="14">
        <f>IF(
OR(
M9&lt;&gt;"في الموعد",
NOT(ISNUMBER(K9)),
NOT(ISNUMBER(H9))
),
"",
IF(
INT(K9)&gt;INT(H9),
"متأخر",
""
)
)</f>
        <v/>
      </c>
      <c r="W9" s="14">
        <f>IF(COUNT(F9:K9)=0,"",TEXT(IF(K9&lt;&gt;"",K9,IF(I9&lt;&gt;"",I9,IF(J9&lt;&gt;"",J9,IF(H9&lt;&gt;"",H9,IF(G9&lt;&gt;"",G9,F9))))),"[$-en-US]mmm"))</f>
        <v/>
      </c>
    </row>
    <row r="10">
      <c r="A10" s="14" t="n">
        <v>184</v>
      </c>
      <c r="B10" s="14" t="n">
        <v>1357</v>
      </c>
      <c r="C10" t="inlineStr">
        <is>
          <t>تشريع توضيحي 009</t>
        </is>
      </c>
      <c r="D10" s="14" t="inlineStr">
        <is>
          <t>الاتصال الحكومي وشؤون الأمانة العامة</t>
        </is>
      </c>
      <c r="E10" s="14" t="inlineStr">
        <is>
          <t>تميز الموارد البشرية</t>
        </is>
      </c>
      <c r="F10" s="268" t="n">
        <v>46275</v>
      </c>
      <c r="G10" s="268" t="n">
        <v>46275</v>
      </c>
      <c r="H10" s="268" t="n">
        <v>46290</v>
      </c>
      <c r="I10" s="268" t="n">
        <v>46304</v>
      </c>
      <c r="J10" s="268" t="n">
        <v>46287</v>
      </c>
      <c r="K10" s="268" t="n"/>
      <c r="L10" s="268" t="n"/>
      <c r="M10" s="268" t="inlineStr">
        <is>
          <t>قيد الإجراء</t>
        </is>
      </c>
      <c r="N10" s="268" t="n"/>
      <c r="O10" s="7" t="inlineStr">
        <is>
          <t>قيد المراجعة</t>
        </is>
      </c>
      <c r="P10" s="7" t="inlineStr">
        <is>
          <t>محلي</t>
        </is>
      </c>
      <c r="Q10" s="14" t="inlineStr">
        <is>
          <t>اللجنة العليا للتشريعات في إمارة دبي</t>
        </is>
      </c>
      <c r="R10" s="14" t="n"/>
      <c r="S10" s="14" t="n"/>
      <c r="T10" s="14" t="n">
        <v>2026</v>
      </c>
      <c r="U10" s="14">
        <f>IF(
K10&lt;&gt;"",
"",
IF(
IF(I10&lt;&gt;"",I10,H10)="",
"",
IF(
ValidationDate&gt;IF(I10&lt;&gt;"",I10,H10),
"متأخر",
""
)
)
)</f>
        <v/>
      </c>
      <c r="V10" s="14">
        <f>IF(
OR(
M10&lt;&gt;"في الموعد",
NOT(ISNUMBER(K10)),
NOT(ISNUMBER(H10))
),
"",
IF(
INT(K10)&gt;INT(H10),
"متأخر",
""
)
)</f>
        <v/>
      </c>
      <c r="W10" s="14">
        <f>IF(COUNT(F10:K10)=0,"",TEXT(IF(K10&lt;&gt;"",K10,IF(I10&lt;&gt;"",I10,IF(J10&lt;&gt;"",J10,IF(H10&lt;&gt;"",H10,IF(G10&lt;&gt;"",G10,F10))))),"[$-en-US]mmm"))</f>
        <v/>
      </c>
    </row>
    <row r="11">
      <c r="A11" s="14" t="n">
        <v>9</v>
      </c>
      <c r="B11" s="14" t="n">
        <v>156</v>
      </c>
      <c r="C11" t="inlineStr">
        <is>
          <t>تشريع توضيحي 010</t>
        </is>
      </c>
      <c r="D11" s="14" t="inlineStr">
        <is>
          <t>الاقتصاد والتنمية الاجتماعية</t>
        </is>
      </c>
      <c r="E11" s="14" t="inlineStr">
        <is>
          <t>السياسات والاستراتيجيات الاجتماعية</t>
        </is>
      </c>
      <c r="F11" s="268" t="n">
        <v>46055</v>
      </c>
      <c r="G11" s="268" t="n">
        <v>46055</v>
      </c>
      <c r="H11" s="268" t="n">
        <v>46069</v>
      </c>
      <c r="I11" s="268" t="n"/>
      <c r="J11" s="268" t="n">
        <v>46063</v>
      </c>
      <c r="K11" s="268" t="n">
        <v>46065</v>
      </c>
      <c r="L11" s="268" t="n">
        <v>46069</v>
      </c>
      <c r="M11" s="268" t="inlineStr">
        <is>
          <t>في الموعد</t>
        </is>
      </c>
      <c r="N11" s="268" t="n"/>
      <c r="O11" s="7" t="inlineStr">
        <is>
          <t>مغلق</t>
        </is>
      </c>
      <c r="P11" s="7" t="inlineStr">
        <is>
          <t>اتحادي</t>
        </is>
      </c>
      <c r="Q11" s="14" t="inlineStr">
        <is>
          <t>اللجنة العليا للتشريعات في إمارة دبي</t>
        </is>
      </c>
      <c r="R11" s="14" t="n"/>
      <c r="S11" s="14" t="n"/>
      <c r="T11" s="14" t="n">
        <v>2026</v>
      </c>
      <c r="U11" s="14">
        <f>IF(
K11&lt;&gt;"",
"",
IF(
IF(I11&lt;&gt;"",I11,H11)="",
"",
IF(
ValidationDate&gt;IF(I11&lt;&gt;"",I11,H11),
"متأخر",
""
)
)
)</f>
        <v/>
      </c>
      <c r="V11" s="14">
        <f>IF(
OR(
M11&lt;&gt;"في الموعد",
NOT(ISNUMBER(K11)),
NOT(ISNUMBER(H11))
),
"",
IF(
INT(K11)&gt;INT(H11),
"متأخر",
""
)
)</f>
        <v/>
      </c>
      <c r="W11" s="14">
        <f>IF(COUNT(F11:K11)=0,"",TEXT(IF(K11&lt;&gt;"",K11,IF(I11&lt;&gt;"",I11,IF(J11&lt;&gt;"",J11,IF(H11&lt;&gt;"",H11,IF(G11&lt;&gt;"",G11,F11))))),"[$-en-US]mmm"))</f>
        <v/>
      </c>
    </row>
    <row r="12">
      <c r="A12" s="14" t="n">
        <v>10</v>
      </c>
      <c r="B12" s="14" t="n">
        <v>157</v>
      </c>
      <c r="C12" t="inlineStr">
        <is>
          <t>تشريع توضيحي 011</t>
        </is>
      </c>
      <c r="D12" s="14" t="inlineStr">
        <is>
          <t>الاقتصاد والتنمية الاجتماعية</t>
        </is>
      </c>
      <c r="E12" s="14" t="inlineStr">
        <is>
          <t>السياسات والاستراتيجيات الاجتماعية</t>
        </is>
      </c>
      <c r="F12" s="268" t="n">
        <v>46055</v>
      </c>
      <c r="G12" s="268" t="n">
        <v>46055</v>
      </c>
      <c r="H12" s="268" t="n">
        <v>46069</v>
      </c>
      <c r="I12" s="268" t="n"/>
      <c r="J12" s="268" t="n">
        <v>46063</v>
      </c>
      <c r="K12" s="268" t="n">
        <v>46065</v>
      </c>
      <c r="L12" s="268" t="n">
        <v>46069</v>
      </c>
      <c r="M12" s="268" t="inlineStr">
        <is>
          <t>في الموعد</t>
        </is>
      </c>
      <c r="N12" s="268" t="n"/>
      <c r="O12" s="7" t="inlineStr">
        <is>
          <t>مغلق</t>
        </is>
      </c>
      <c r="P12" s="7" t="inlineStr">
        <is>
          <t>اتحادي</t>
        </is>
      </c>
      <c r="Q12" s="14" t="inlineStr">
        <is>
          <t>اللجنة العليا للتشريعات في إمارة دبي</t>
        </is>
      </c>
      <c r="R12" s="14" t="n"/>
      <c r="S12" s="14" t="n"/>
      <c r="T12" s="14" t="n">
        <v>2026</v>
      </c>
      <c r="U12" s="14">
        <f>IF(
K12&lt;&gt;"",
"",
IF(
IF(I12&lt;&gt;"",I12,H12)="",
"",
IF(
ValidationDate&gt;IF(I12&lt;&gt;"",I12,H12),
"متأخر",
""
)
)
)</f>
        <v/>
      </c>
      <c r="V12" s="14">
        <f>IF(
OR(
M12&lt;&gt;"في الموعد",
NOT(ISNUMBER(K12)),
NOT(ISNUMBER(H12))
),
"",
IF(
INT(K12)&gt;INT(H12),
"متأخر",
""
)
)</f>
        <v/>
      </c>
      <c r="W12" s="14">
        <f>IF(COUNT(F12:K12)=0,"",TEXT(IF(K12&lt;&gt;"",K12,IF(I12&lt;&gt;"",I12,IF(J12&lt;&gt;"",J12,IF(H12&lt;&gt;"",H12,IF(G12&lt;&gt;"",G12,F12))))),"[$-en-US]mmm"))</f>
        <v/>
      </c>
    </row>
    <row r="13">
      <c r="A13" s="14" t="n">
        <v>13</v>
      </c>
      <c r="B13" s="14" t="n">
        <v>176</v>
      </c>
      <c r="C13" t="inlineStr">
        <is>
          <t>تشريع توضيحي 012</t>
        </is>
      </c>
      <c r="D13" s="14" t="inlineStr">
        <is>
          <t>الاقتصاد والتنمية الاجتماعية</t>
        </is>
      </c>
      <c r="E13" s="14" t="inlineStr">
        <is>
          <t>السياسات والاستراتيجيات الاجتماعية</t>
        </is>
      </c>
      <c r="F13" s="268" t="n">
        <v>46057</v>
      </c>
      <c r="G13" s="268" t="n">
        <v>46057</v>
      </c>
      <c r="H13" s="268" t="n">
        <v>46073</v>
      </c>
      <c r="I13" s="268" t="n"/>
      <c r="J13" s="268" t="n">
        <v>46072</v>
      </c>
      <c r="K13" s="268" t="n">
        <v>46063</v>
      </c>
      <c r="L13" s="268" t="n">
        <v>46066</v>
      </c>
      <c r="M13" s="268" t="inlineStr">
        <is>
          <t>في الموعد</t>
        </is>
      </c>
      <c r="N13" s="268" t="n"/>
      <c r="O13" s="7" t="inlineStr">
        <is>
          <t>مغلق</t>
        </is>
      </c>
      <c r="P13" s="7" t="inlineStr">
        <is>
          <t>محلي</t>
        </is>
      </c>
      <c r="Q13" s="14" t="inlineStr">
        <is>
          <t>اللجنة العليا للتشريعات في إمارة دبي</t>
        </is>
      </c>
      <c r="R13" s="14" t="n"/>
      <c r="S13" s="14" t="n"/>
      <c r="T13" s="14" t="n">
        <v>2026</v>
      </c>
      <c r="U13" s="14">
        <f>IF(
K13&lt;&gt;"",
"",
IF(
IF(I13&lt;&gt;"",I13,H13)="",
"",
IF(
ValidationDate&gt;IF(I13&lt;&gt;"",I13,H13),
"متأخر",
""
)
)
)</f>
        <v/>
      </c>
      <c r="V13" s="14">
        <f>IF(
OR(
M13&lt;&gt;"في الموعد",
NOT(ISNUMBER(K13)),
NOT(ISNUMBER(H13))
),
"",
IF(
INT(K13)&gt;INT(H13),
"متأخر",
""
)
)</f>
        <v/>
      </c>
      <c r="W13" s="14">
        <f>IF(COUNT(F13:K13)=0,"",TEXT(IF(K13&lt;&gt;"",K13,IF(I13&lt;&gt;"",I13,IF(J13&lt;&gt;"",J13,IF(H13&lt;&gt;"",H13,IF(G13&lt;&gt;"",G13,F13))))),"[$-en-US]mmm"))</f>
        <v/>
      </c>
    </row>
    <row r="14">
      <c r="A14" s="14" t="n">
        <v>14</v>
      </c>
      <c r="B14" s="14" t="n">
        <v>177</v>
      </c>
      <c r="C14" t="inlineStr">
        <is>
          <t>تشريع توضيحي 013</t>
        </is>
      </c>
      <c r="D14" s="14" t="inlineStr">
        <is>
          <t>الاقتصاد والتنمية الاجتماعية</t>
        </is>
      </c>
      <c r="E14" s="14" t="inlineStr">
        <is>
          <t>السياسات والاستراتيجيات الاجتماعية</t>
        </is>
      </c>
      <c r="F14" s="268" t="n">
        <v>46057</v>
      </c>
      <c r="G14" s="268" t="n">
        <v>46057</v>
      </c>
      <c r="H14" s="268" t="n">
        <v>46066</v>
      </c>
      <c r="I14" s="268" t="n"/>
      <c r="J14" s="268" t="n">
        <v>46063</v>
      </c>
      <c r="K14" s="268" t="n">
        <v>46064</v>
      </c>
      <c r="L14" s="268" t="n">
        <v>46066</v>
      </c>
      <c r="M14" s="268" t="inlineStr">
        <is>
          <t>في الموعد</t>
        </is>
      </c>
      <c r="N14" s="268" t="n"/>
      <c r="O14" s="7" t="inlineStr">
        <is>
          <t>مغلق</t>
        </is>
      </c>
      <c r="P14" s="7" t="inlineStr">
        <is>
          <t>محلي</t>
        </is>
      </c>
      <c r="Q14" s="14" t="inlineStr">
        <is>
          <t>اللجنة العليا للتشريعات في إمارة دبي</t>
        </is>
      </c>
      <c r="R14" s="14" t="n"/>
      <c r="S14" s="14" t="n"/>
      <c r="T14" s="14" t="n">
        <v>2026</v>
      </c>
      <c r="U14" s="14">
        <f>IF(
K14&lt;&gt;"",
"",
IF(
IF(I14&lt;&gt;"",I14,H14)="",
"",
IF(
ValidationDate&gt;IF(I14&lt;&gt;"",I14,H14),
"متأخر",
""
)
)
)</f>
        <v/>
      </c>
      <c r="V14" s="14">
        <f>IF(
OR(
M14&lt;&gt;"في الموعد",
NOT(ISNUMBER(K14)),
NOT(ISNUMBER(H14))
),
"",
IF(
INT(K14)&gt;INT(H14),
"متأخر",
""
)
)</f>
        <v/>
      </c>
      <c r="W14" s="14">
        <f>IF(COUNT(F14:K14)=0,"",TEXT(IF(K14&lt;&gt;"",K14,IF(I14&lt;&gt;"",I14,IF(J14&lt;&gt;"",J14,IF(H14&lt;&gt;"",H14,IF(G14&lt;&gt;"",G14,F14))))),"[$-en-US]mmm"))</f>
        <v/>
      </c>
    </row>
    <row r="15">
      <c r="A15" s="14" t="n">
        <v>31</v>
      </c>
      <c r="B15" s="14" t="n">
        <v>289</v>
      </c>
      <c r="C15" t="inlineStr">
        <is>
          <t>تشريع توضيحي 014</t>
        </is>
      </c>
      <c r="D15" s="14" t="inlineStr">
        <is>
          <t>الاقتصاد والتنمية الاجتماعية</t>
        </is>
      </c>
      <c r="E15" s="14" t="inlineStr">
        <is>
          <t>السياسات والاستراتيجيات الاجتماعية</t>
        </is>
      </c>
      <c r="F15" s="268" t="n">
        <v>46076</v>
      </c>
      <c r="G15" s="268" t="n">
        <v>46076</v>
      </c>
      <c r="H15" s="268" t="n">
        <v>46087</v>
      </c>
      <c r="I15" s="268" t="n"/>
      <c r="J15" s="268" t="n">
        <v>46084</v>
      </c>
      <c r="K15" s="268" t="n">
        <v>46085</v>
      </c>
      <c r="L15" s="268" t="n">
        <v>46093</v>
      </c>
      <c r="M15" s="268" t="inlineStr">
        <is>
          <t>في الموعد</t>
        </is>
      </c>
      <c r="N15" s="268" t="n"/>
      <c r="O15" s="7" t="inlineStr">
        <is>
          <t>مغلق</t>
        </is>
      </c>
      <c r="P15" s="7" t="inlineStr">
        <is>
          <t>محلي</t>
        </is>
      </c>
      <c r="Q15" s="14" t="inlineStr">
        <is>
          <t>اللجنة العليا للتشريعات في إمارة دبي</t>
        </is>
      </c>
      <c r="R15" s="14" t="n"/>
      <c r="S15" s="14" t="n"/>
      <c r="T15" s="14" t="n">
        <v>2026</v>
      </c>
      <c r="U15" s="14">
        <f>IF(
K15&lt;&gt;"",
"",
IF(
IF(I15&lt;&gt;"",I15,H15)="",
"",
IF(
ValidationDate&gt;IF(I15&lt;&gt;"",I15,H15),
"متأخر",
""
)
)
)</f>
        <v/>
      </c>
      <c r="V15" s="14">
        <f>IF(
OR(
M15&lt;&gt;"في الموعد",
NOT(ISNUMBER(K15)),
NOT(ISNUMBER(H15))
),
"",
IF(
INT(K15)&gt;INT(H15),
"متأخر",
""
)
)</f>
        <v/>
      </c>
      <c r="W15" s="14">
        <f>IF(COUNT(F15:K15)=0,"",TEXT(IF(K15&lt;&gt;"",K15,IF(I15&lt;&gt;"",I15,IF(J15&lt;&gt;"",J15,IF(H15&lt;&gt;"",H15,IF(G15&lt;&gt;"",G15,F15))))),"[$-en-US]mmm"))</f>
        <v/>
      </c>
    </row>
    <row r="16">
      <c r="A16" s="14" t="n">
        <v>45</v>
      </c>
      <c r="B16" s="14" t="n">
        <v>424</v>
      </c>
      <c r="C16" t="inlineStr">
        <is>
          <t>تشريع توضيحي 015</t>
        </is>
      </c>
      <c r="D16" s="14" t="inlineStr">
        <is>
          <t>الاقتصاد والتنمية الاجتماعية</t>
        </is>
      </c>
      <c r="E16" s="14" t="inlineStr">
        <is>
          <t>السياسات والاستراتيجيات الاجتماعية</t>
        </is>
      </c>
      <c r="F16" s="268" t="n">
        <v>46098</v>
      </c>
      <c r="G16" s="268" t="n">
        <v>46099</v>
      </c>
      <c r="H16" s="268" t="n">
        <v>46107</v>
      </c>
      <c r="I16" s="268" t="n"/>
      <c r="J16" s="268" t="n">
        <v>46104</v>
      </c>
      <c r="K16" s="268" t="n">
        <v>46105</v>
      </c>
      <c r="L16" s="268" t="n">
        <v>46105</v>
      </c>
      <c r="M16" s="268" t="inlineStr">
        <is>
          <t>في الموعد</t>
        </is>
      </c>
      <c r="N16" s="268" t="n"/>
      <c r="O16" s="7" t="inlineStr">
        <is>
          <t>مغلق</t>
        </is>
      </c>
      <c r="P16" s="7" t="inlineStr">
        <is>
          <t>محلي</t>
        </is>
      </c>
      <c r="Q16" s="14" t="inlineStr">
        <is>
          <t>اللجنة العليا للتشريعات في إمارة دبي</t>
        </is>
      </c>
      <c r="R16" s="14" t="n"/>
      <c r="S16" s="14" t="n"/>
      <c r="T16" s="14" t="n">
        <v>2026</v>
      </c>
      <c r="U16" s="14">
        <f>IF(
K16&lt;&gt;"",
"",
IF(
IF(I16&lt;&gt;"",I16,H16)="",
"",
IF(
ValidationDate&gt;IF(I16&lt;&gt;"",I16,H16),
"متأخر",
""
)
)
)</f>
        <v/>
      </c>
      <c r="V16" s="14">
        <f>IF(
OR(
M16&lt;&gt;"في الموعد",
NOT(ISNUMBER(K16)),
NOT(ISNUMBER(H16))
),
"",
IF(
INT(K16)&gt;INT(H16),
"متأخر",
""
)
)</f>
        <v/>
      </c>
      <c r="W16" s="14">
        <f>IF(COUNT(F16:K16)=0,"",TEXT(IF(K16&lt;&gt;"",K16,IF(I16&lt;&gt;"",I16,IF(J16&lt;&gt;"",J16,IF(H16&lt;&gt;"",H16,IF(G16&lt;&gt;"",G16,F16))))),"[$-en-US]mmm"))</f>
        <v/>
      </c>
    </row>
    <row r="17">
      <c r="A17" s="14" t="n">
        <v>49</v>
      </c>
      <c r="B17" s="14" t="n">
        <v>481</v>
      </c>
      <c r="C17" t="inlineStr">
        <is>
          <t>تشريع توضيحي 016</t>
        </is>
      </c>
      <c r="D17" s="14" t="inlineStr">
        <is>
          <t>الاقتصاد والتنمية الاجتماعية</t>
        </is>
      </c>
      <c r="E17" s="14" t="inlineStr">
        <is>
          <t>السياسات والاستراتيجيات الاجتماعية</t>
        </is>
      </c>
      <c r="F17" s="268" t="n">
        <v>46112</v>
      </c>
      <c r="G17" s="268" t="n">
        <v>46112</v>
      </c>
      <c r="H17" s="268" t="n">
        <v>46122</v>
      </c>
      <c r="I17" s="268" t="n"/>
      <c r="J17" s="268" t="n">
        <v>46119</v>
      </c>
      <c r="K17" s="268" t="n">
        <v>46119</v>
      </c>
      <c r="L17" s="268" t="n">
        <v>46120</v>
      </c>
      <c r="M17" s="268" t="inlineStr">
        <is>
          <t>في الموعد</t>
        </is>
      </c>
      <c r="N17" s="268" t="n"/>
      <c r="O17" s="7" t="inlineStr">
        <is>
          <t>مغلق</t>
        </is>
      </c>
      <c r="P17" s="7" t="inlineStr">
        <is>
          <t>اتحادي</t>
        </is>
      </c>
      <c r="Q17" s="14" t="inlineStr">
        <is>
          <t>اللجنة العليا للتشريعات في إمارة دبي</t>
        </is>
      </c>
      <c r="R17" s="14" t="n"/>
      <c r="S17" s="14" t="n"/>
      <c r="T17" s="14" t="n">
        <v>2026</v>
      </c>
      <c r="U17" s="14">
        <f>IF(
K17&lt;&gt;"",
"",
IF(
IF(I17&lt;&gt;"",I17,H17)="",
"",
IF(
ValidationDate&gt;IF(I17&lt;&gt;"",I17,H17),
"متأخر",
""
)
)
)</f>
        <v/>
      </c>
      <c r="V17" s="14">
        <f>IF(
OR(
M17&lt;&gt;"في الموعد",
NOT(ISNUMBER(K17)),
NOT(ISNUMBER(H17))
),
"",
IF(
INT(K17)&gt;INT(H17),
"متأخر",
""
)
)</f>
        <v/>
      </c>
      <c r="W17" s="14">
        <f>IF(COUNT(F17:K17)=0,"",TEXT(IF(K17&lt;&gt;"",K17,IF(I17&lt;&gt;"",I17,IF(J17&lt;&gt;"",J17,IF(H17&lt;&gt;"",H17,IF(G17&lt;&gt;"",G17,F17))))),"[$-en-US]mmm"))</f>
        <v/>
      </c>
    </row>
    <row r="18">
      <c r="A18" s="14" t="n">
        <v>55</v>
      </c>
      <c r="B18" s="14" t="n">
        <v>533</v>
      </c>
      <c r="C18" t="inlineStr">
        <is>
          <t>تشريع توضيحي 017</t>
        </is>
      </c>
      <c r="D18" s="14" t="inlineStr">
        <is>
          <t>الاقتصاد والتنمية الاجتماعية</t>
        </is>
      </c>
      <c r="E18" s="14" t="inlineStr">
        <is>
          <t>السياسات والاستراتيجيات الاجتماعية</t>
        </is>
      </c>
      <c r="F18" s="268" t="n">
        <v>46122</v>
      </c>
      <c r="G18" s="268" t="n">
        <v>46125</v>
      </c>
      <c r="H18" s="268" t="n">
        <v>46136</v>
      </c>
      <c r="I18" s="268" t="n">
        <v>46143</v>
      </c>
      <c r="J18" s="268" t="n">
        <v>46133</v>
      </c>
      <c r="K18" s="268" t="n">
        <v>46135</v>
      </c>
      <c r="L18" s="268" t="n">
        <v>46140</v>
      </c>
      <c r="M18" s="268" t="inlineStr">
        <is>
          <t>في الموعد</t>
        </is>
      </c>
      <c r="N18" s="268" t="n"/>
      <c r="O18" s="7" t="inlineStr">
        <is>
          <t>مغلق</t>
        </is>
      </c>
      <c r="P18" s="7" t="inlineStr">
        <is>
          <t>اتحادي</t>
        </is>
      </c>
      <c r="Q18" s="14" t="inlineStr">
        <is>
          <t>اللجنة العليا للتشريعات في إمارة دبي</t>
        </is>
      </c>
      <c r="R18" s="14" t="n"/>
      <c r="S18" s="14" t="n"/>
      <c r="T18" s="14" t="n">
        <v>2026</v>
      </c>
      <c r="U18" s="14">
        <f>IF(
K18&lt;&gt;"",
"",
IF(
IF(I18&lt;&gt;"",I18,H18)="",
"",
IF(
ValidationDate&gt;IF(I18&lt;&gt;"",I18,H18),
"متأخر",
""
)
)
)</f>
        <v/>
      </c>
      <c r="V18" s="14">
        <f>IF(
OR(
M18&lt;&gt;"في الموعد",
NOT(ISNUMBER(K18)),
NOT(ISNUMBER(H18))
),
"",
IF(
INT(K18)&gt;INT(H18),
"متأخر",
""
)
)</f>
        <v/>
      </c>
      <c r="W18" s="14">
        <f>IF(COUNT(F18:K18)=0,"",TEXT(IF(K18&lt;&gt;"",K18,IF(I18&lt;&gt;"",I18,IF(J18&lt;&gt;"",J18,IF(H18&lt;&gt;"",H18,IF(G18&lt;&gt;"",G18,F18))))),"[$-en-US]mmm"))</f>
        <v/>
      </c>
    </row>
    <row r="19">
      <c r="A19" s="14" t="n">
        <v>62</v>
      </c>
      <c r="B19" s="14" t="n">
        <v>569</v>
      </c>
      <c r="C19" t="inlineStr">
        <is>
          <t>تشريع توضيحي 018</t>
        </is>
      </c>
      <c r="D19" s="14" t="inlineStr">
        <is>
          <t>الاقتصاد والتنمية الاجتماعية</t>
        </is>
      </c>
      <c r="E19" s="14" t="inlineStr">
        <is>
          <t>السياسات والاستراتيجيات الاجتماعية</t>
        </is>
      </c>
      <c r="F19" s="268" t="n">
        <v>46129</v>
      </c>
      <c r="G19" s="268" t="n">
        <v>46129</v>
      </c>
      <c r="H19" s="268" t="n">
        <v>46143</v>
      </c>
      <c r="I19" s="268" t="n"/>
      <c r="J19" s="268" t="n">
        <v>46140</v>
      </c>
      <c r="K19" s="268" t="n">
        <v>46135</v>
      </c>
      <c r="L19" s="268" t="n">
        <v>46141</v>
      </c>
      <c r="M19" s="268" t="inlineStr">
        <is>
          <t>في الموعد</t>
        </is>
      </c>
      <c r="N19" s="268" t="n"/>
      <c r="O19" s="7" t="inlineStr">
        <is>
          <t>مغلق</t>
        </is>
      </c>
      <c r="P19" s="7" t="inlineStr">
        <is>
          <t>اتحادي</t>
        </is>
      </c>
      <c r="Q19" s="14" t="inlineStr">
        <is>
          <t>اللجنة العليا للتشريعات في إمارة دبي</t>
        </is>
      </c>
      <c r="R19" s="14" t="n"/>
      <c r="S19" s="14" t="n"/>
      <c r="T19" s="14" t="n">
        <v>2026</v>
      </c>
      <c r="U19" s="14">
        <f>IF(
K19&lt;&gt;"",
"",
IF(
IF(I19&lt;&gt;"",I19,H19)="",
"",
IF(
ValidationDate&gt;IF(I19&lt;&gt;"",I19,H19),
"متأخر",
""
)
)
)</f>
        <v/>
      </c>
      <c r="V19" s="14">
        <f>IF(
OR(
M19&lt;&gt;"في الموعد",
NOT(ISNUMBER(K19)),
NOT(ISNUMBER(H19))
),
"",
IF(
INT(K19)&gt;INT(H19),
"متأخر",
""
)
)</f>
        <v/>
      </c>
      <c r="W19" s="14">
        <f>IF(COUNT(F19:K19)=0,"",TEXT(IF(K19&lt;&gt;"",K19,IF(I19&lt;&gt;"",I19,IF(J19&lt;&gt;"",J19,IF(H19&lt;&gt;"",H19,IF(G19&lt;&gt;"",G19,F19))))),"[$-en-US]mmm"))</f>
        <v/>
      </c>
    </row>
    <row r="20">
      <c r="A20" s="14" t="n">
        <v>66</v>
      </c>
      <c r="B20" s="14" t="n">
        <v>603</v>
      </c>
      <c r="C20" t="inlineStr">
        <is>
          <t>تشريع توضيحي 019</t>
        </is>
      </c>
      <c r="D20" s="14" t="inlineStr">
        <is>
          <t>الاقتصاد والتنمية الاجتماعية</t>
        </is>
      </c>
      <c r="E20" s="14" t="inlineStr">
        <is>
          <t>السياسات والاستراتيجيات الاجتماعية</t>
        </is>
      </c>
      <c r="F20" s="268" t="n">
        <v>46135</v>
      </c>
      <c r="G20" s="268" t="n">
        <v>46136</v>
      </c>
      <c r="H20" s="268" t="n">
        <v>46141</v>
      </c>
      <c r="I20" s="268" t="n">
        <v>46157</v>
      </c>
      <c r="J20" s="268" t="n">
        <v>46155</v>
      </c>
      <c r="K20" s="268" t="n">
        <v>46155</v>
      </c>
      <c r="L20" s="268" t="n">
        <v>46156</v>
      </c>
      <c r="M20" s="268" t="inlineStr">
        <is>
          <t>في الموعد</t>
        </is>
      </c>
      <c r="N20" s="268" t="n"/>
      <c r="O20" s="7" t="inlineStr">
        <is>
          <t>مغلق</t>
        </is>
      </c>
      <c r="P20" s="7" t="inlineStr">
        <is>
          <t>اتحادي</t>
        </is>
      </c>
      <c r="Q20" s="14" t="inlineStr">
        <is>
          <t>اللجنة العليا للتشريعات في إمارة دبي</t>
        </is>
      </c>
      <c r="R20" s="14" t="n"/>
      <c r="S20" s="14" t="n"/>
      <c r="T20" s="14" t="n">
        <v>2026</v>
      </c>
      <c r="U20" s="14">
        <f>IF(
K20&lt;&gt;"",
"",
IF(
IF(I20&lt;&gt;"",I20,H20)="",
"",
IF(
ValidationDate&gt;IF(I20&lt;&gt;"",I20,H20),
"متأخر",
""
)
)
)</f>
        <v/>
      </c>
      <c r="V20" s="14">
        <f>IF(
OR(
M20&lt;&gt;"في الموعد",
NOT(ISNUMBER(K20)),
NOT(ISNUMBER(H20))
),
"",
IF(
INT(K20)&gt;INT(H20),
"متأخر",
""
)
)</f>
        <v/>
      </c>
      <c r="W20" s="14">
        <f>IF(COUNT(F20:K20)=0,"",TEXT(IF(K20&lt;&gt;"",K20,IF(I20&lt;&gt;"",I20,IF(J20&lt;&gt;"",J20,IF(H20&lt;&gt;"",H20,IF(G20&lt;&gt;"",G20,F20))))),"[$-en-US]mmm"))</f>
        <v/>
      </c>
    </row>
    <row r="21">
      <c r="A21" s="14" t="n">
        <v>69</v>
      </c>
      <c r="B21" s="14" t="n">
        <v>628</v>
      </c>
      <c r="C21" t="inlineStr">
        <is>
          <t>تشريع توضيحي 020</t>
        </is>
      </c>
      <c r="D21" s="14" t="inlineStr">
        <is>
          <t>الاقتصاد والتنمية الاجتماعية</t>
        </is>
      </c>
      <c r="E21" s="14" t="inlineStr">
        <is>
          <t>السياسات والاستراتيجيات الاجتماعية</t>
        </is>
      </c>
      <c r="F21" s="268" t="n">
        <v>46140</v>
      </c>
      <c r="G21" s="268" t="n">
        <v>46140</v>
      </c>
      <c r="H21" s="268" t="n">
        <v>46157</v>
      </c>
      <c r="I21" s="268" t="n"/>
      <c r="J21" s="268" t="n">
        <v>46154</v>
      </c>
      <c r="K21" s="268" t="n">
        <v>46156</v>
      </c>
      <c r="L21" s="268" t="n">
        <v>46157</v>
      </c>
      <c r="M21" s="268" t="inlineStr">
        <is>
          <t>في الموعد</t>
        </is>
      </c>
      <c r="N21" s="268" t="n"/>
      <c r="O21" s="7" t="inlineStr">
        <is>
          <t>مغلق</t>
        </is>
      </c>
      <c r="P21" s="7" t="inlineStr">
        <is>
          <t>محلي</t>
        </is>
      </c>
      <c r="Q21" s="14" t="inlineStr">
        <is>
          <t>اللجنة العليا للتشريعات في إمارة دبي</t>
        </is>
      </c>
      <c r="R21" s="14" t="n"/>
      <c r="S21" s="14" t="n"/>
      <c r="T21" s="14" t="n">
        <v>2026</v>
      </c>
      <c r="U21" s="14">
        <f>IF(
K21&lt;&gt;"",
"",
IF(
IF(I21&lt;&gt;"",I21,H21)="",
"",
IF(
ValidationDate&gt;IF(I21&lt;&gt;"",I21,H21),
"متأخر",
""
)
)
)</f>
        <v/>
      </c>
      <c r="V21" s="14">
        <f>IF(
OR(
M21&lt;&gt;"في الموعد",
NOT(ISNUMBER(K21)),
NOT(ISNUMBER(H21))
),
"",
IF(
INT(K21)&gt;INT(H21),
"متأخر",
""
)
)</f>
        <v/>
      </c>
      <c r="W21" s="14">
        <f>IF(COUNT(F21:K21)=0,"",TEXT(IF(K21&lt;&gt;"",K21,IF(I21&lt;&gt;"",I21,IF(J21&lt;&gt;"",J21,IF(H21&lt;&gt;"",H21,IF(G21&lt;&gt;"",G21,F21))))),"[$-en-US]mmm"))</f>
        <v/>
      </c>
    </row>
    <row r="22">
      <c r="A22" s="14" t="n">
        <v>77</v>
      </c>
      <c r="B22" s="14" t="n">
        <v>661</v>
      </c>
      <c r="C22" t="inlineStr">
        <is>
          <t>تشريع توضيحي 021</t>
        </is>
      </c>
      <c r="D22" s="14" t="inlineStr">
        <is>
          <t>الاقتصاد والتنمية الاجتماعية</t>
        </is>
      </c>
      <c r="E22" s="14" t="inlineStr">
        <is>
          <t>السياسات والاستراتيجيات الاجتماعية</t>
        </is>
      </c>
      <c r="F22" s="268" t="n">
        <v>46143</v>
      </c>
      <c r="G22" s="268" t="n">
        <v>46146</v>
      </c>
      <c r="H22" s="268" t="n">
        <v>46157</v>
      </c>
      <c r="I22" s="268" t="n"/>
      <c r="J22" s="268" t="n">
        <v>46154</v>
      </c>
      <c r="K22" s="268" t="n">
        <v>46156</v>
      </c>
      <c r="L22" s="268" t="n">
        <v>46157</v>
      </c>
      <c r="M22" s="268" t="inlineStr">
        <is>
          <t>في الموعد</t>
        </is>
      </c>
      <c r="N22" s="268" t="n"/>
      <c r="O22" s="7" t="inlineStr">
        <is>
          <t>مغلق</t>
        </is>
      </c>
      <c r="P22" s="7" t="inlineStr">
        <is>
          <t>اتحادي</t>
        </is>
      </c>
      <c r="Q22" s="14" t="inlineStr">
        <is>
          <t>اللجنة العليا للتشريعات في إمارة دبي</t>
        </is>
      </c>
      <c r="R22" s="14" t="n"/>
      <c r="S22" s="14" t="n"/>
      <c r="T22" s="14" t="n">
        <v>2026</v>
      </c>
      <c r="U22" s="14">
        <f>IF(
K22&lt;&gt;"",
"",
IF(
IF(I22&lt;&gt;"",I22,H22)="",
"",
IF(
ValidationDate&gt;IF(I22&lt;&gt;"",I22,H22),
"متأخر",
""
)
)
)</f>
        <v/>
      </c>
      <c r="V22" s="14">
        <f>IF(
OR(
M22&lt;&gt;"في الموعد",
NOT(ISNUMBER(K22)),
NOT(ISNUMBER(H22))
),
"",
IF(
INT(K22)&gt;INT(H22),
"متأخر",
""
)
)</f>
        <v/>
      </c>
      <c r="W22" s="14">
        <f>IF(COUNT(F22:K22)=0,"",TEXT(IF(K22&lt;&gt;"",K22,IF(I22&lt;&gt;"",I22,IF(J22&lt;&gt;"",J22,IF(H22&lt;&gt;"",H22,IF(G22&lt;&gt;"",G22,F22))))),"[$-en-US]mmm"))</f>
        <v/>
      </c>
    </row>
    <row r="23">
      <c r="A23" s="14" t="n">
        <v>81</v>
      </c>
      <c r="B23" s="14" t="n">
        <v>675</v>
      </c>
      <c r="C23" t="inlineStr">
        <is>
          <t>تشريع توضيحي 022</t>
        </is>
      </c>
      <c r="D23" s="14" t="inlineStr">
        <is>
          <t>الاقتصاد والتنمية الاجتماعية</t>
        </is>
      </c>
      <c r="E23" s="14" t="inlineStr">
        <is>
          <t>السياسات والاستراتيجيات الاجتماعية</t>
        </is>
      </c>
      <c r="F23" s="268" t="n">
        <v>46146</v>
      </c>
      <c r="G23" s="268" t="n">
        <v>46146</v>
      </c>
      <c r="H23" s="268" t="n">
        <v>46157</v>
      </c>
      <c r="I23" s="268" t="n">
        <v>46183</v>
      </c>
      <c r="J23" s="268" t="n">
        <v>46178</v>
      </c>
      <c r="K23" s="268" t="n">
        <v>46178</v>
      </c>
      <c r="L23" s="268" t="n">
        <v>46181</v>
      </c>
      <c r="M23" s="268" t="inlineStr">
        <is>
          <t>في الموعد</t>
        </is>
      </c>
      <c r="N23" s="268" t="n"/>
      <c r="O23" s="7" t="inlineStr">
        <is>
          <t>مغلق</t>
        </is>
      </c>
      <c r="P23" s="7" t="inlineStr">
        <is>
          <t>محلي</t>
        </is>
      </c>
      <c r="Q23" s="14" t="inlineStr">
        <is>
          <t>اللجنة العليا للتشريعات في إمارة دبي</t>
        </is>
      </c>
      <c r="R23" s="14" t="n"/>
      <c r="S23" s="14" t="n"/>
      <c r="T23" s="14" t="n">
        <v>2026</v>
      </c>
      <c r="U23" s="14">
        <f>IF(
K23&lt;&gt;"",
"",
IF(
IF(I23&lt;&gt;"",I23,H23)="",
"",
IF(
ValidationDate&gt;IF(I23&lt;&gt;"",I23,H23),
"متأخر",
""
)
)
)</f>
        <v/>
      </c>
      <c r="V23" s="14">
        <f>IF(
OR(
M23&lt;&gt;"في الموعد",
NOT(ISNUMBER(K23)),
NOT(ISNUMBER(H23))
),
"",
IF(
INT(K23)&gt;INT(H23),
"متأخر",
""
)
)</f>
        <v/>
      </c>
      <c r="W23" s="14">
        <f>IF(COUNT(F23:K23)=0,"",TEXT(IF(K23&lt;&gt;"",K23,IF(I23&lt;&gt;"",I23,IF(J23&lt;&gt;"",J23,IF(H23&lt;&gt;"",H23,IF(G23&lt;&gt;"",G23,F23))))),"[$-en-US]mmm"))</f>
        <v/>
      </c>
    </row>
    <row r="24">
      <c r="A24" s="14" t="n">
        <v>83</v>
      </c>
      <c r="B24" s="14" t="n">
        <v>676</v>
      </c>
      <c r="C24" t="inlineStr">
        <is>
          <t>تشريع توضيحي 023</t>
        </is>
      </c>
      <c r="D24" s="14" t="inlineStr">
        <is>
          <t>الاقتصاد والتنمية الاجتماعية</t>
        </is>
      </c>
      <c r="E24" s="14" t="inlineStr">
        <is>
          <t>السياسات والاستراتيجيات الاجتماعية</t>
        </is>
      </c>
      <c r="F24" s="268" t="n">
        <v>46146</v>
      </c>
      <c r="G24" s="268" t="n">
        <v>46146</v>
      </c>
      <c r="H24" s="268" t="n">
        <v>46167</v>
      </c>
      <c r="I24" s="268" t="n">
        <v>46178</v>
      </c>
      <c r="J24" s="268" t="n">
        <v>46175</v>
      </c>
      <c r="K24" s="268" t="n">
        <v>46177</v>
      </c>
      <c r="L24" s="268" t="n">
        <v>46178</v>
      </c>
      <c r="M24" s="268" t="inlineStr">
        <is>
          <t>في الموعد</t>
        </is>
      </c>
      <c r="N24" s="268" t="n"/>
      <c r="O24" s="7" t="inlineStr">
        <is>
          <t>مغلق</t>
        </is>
      </c>
      <c r="P24" s="7" t="inlineStr">
        <is>
          <t>محلي</t>
        </is>
      </c>
      <c r="Q24" s="14" t="inlineStr">
        <is>
          <t>اللجنة العليا للتشريعات في إمارة دبي</t>
        </is>
      </c>
      <c r="R24" s="14" t="n"/>
      <c r="S24" s="14" t="n"/>
      <c r="T24" s="14" t="n">
        <v>2026</v>
      </c>
      <c r="U24" s="14">
        <f>IF(
K24&lt;&gt;"",
"",
IF(
IF(I24&lt;&gt;"",I24,H24)="",
"",
IF(
ValidationDate&gt;IF(I24&lt;&gt;"",I24,H24),
"متأخر",
""
)
)
)</f>
        <v/>
      </c>
      <c r="V24" s="14">
        <f>IF(
OR(
M24&lt;&gt;"في الموعد",
NOT(ISNUMBER(K24)),
NOT(ISNUMBER(H24))
),
"",
IF(
INT(K24)&gt;INT(H24),
"متأخر",
""
)
)</f>
        <v/>
      </c>
      <c r="W24" s="14">
        <f>IF(COUNT(F24:K24)=0,"",TEXT(IF(K24&lt;&gt;"",K24,IF(I24&lt;&gt;"",I24,IF(J24&lt;&gt;"",J24,IF(H24&lt;&gt;"",H24,IF(G24&lt;&gt;"",G24,F24))))),"[$-en-US]mmm"))</f>
        <v/>
      </c>
    </row>
    <row r="25">
      <c r="A25" s="14" t="n">
        <v>91</v>
      </c>
      <c r="B25" s="14" t="n">
        <v>722</v>
      </c>
      <c r="C25" t="inlineStr">
        <is>
          <t>تشريع توضيحي 024</t>
        </is>
      </c>
      <c r="D25" s="14" t="inlineStr">
        <is>
          <t>الاقتصاد والتنمية الاجتماعية</t>
        </is>
      </c>
      <c r="E25" s="14" t="inlineStr">
        <is>
          <t>السياسات والاستراتيجيات الاجتماعية</t>
        </is>
      </c>
      <c r="F25" s="268" t="n">
        <v>46154</v>
      </c>
      <c r="G25" s="268" t="n">
        <v>46155</v>
      </c>
      <c r="H25" s="268" t="n">
        <v>46178</v>
      </c>
      <c r="I25" s="268" t="n"/>
      <c r="J25" s="268" t="n">
        <v>46175</v>
      </c>
      <c r="K25" s="268" t="n">
        <v>46177</v>
      </c>
      <c r="L25" s="268" t="n">
        <v>46178</v>
      </c>
      <c r="M25" s="268" t="inlineStr">
        <is>
          <t>في الموعد</t>
        </is>
      </c>
      <c r="N25" s="268" t="n"/>
      <c r="O25" s="7" t="inlineStr">
        <is>
          <t>مغلق</t>
        </is>
      </c>
      <c r="P25" s="7" t="inlineStr">
        <is>
          <t>محلي</t>
        </is>
      </c>
      <c r="Q25" s="14" t="inlineStr">
        <is>
          <t>اللجنة العليا للتشريعات في إمارة دبي</t>
        </is>
      </c>
      <c r="R25" s="14" t="n"/>
      <c r="S25" s="14" t="n"/>
      <c r="T25" s="14" t="n">
        <v>2026</v>
      </c>
      <c r="U25" s="14">
        <f>IF(
K25&lt;&gt;"",
"",
IF(
IF(I25&lt;&gt;"",I25,H25)="",
"",
IF(
ValidationDate&gt;IF(I25&lt;&gt;"",I25,H25),
"متأخر",
""
)
)
)</f>
        <v/>
      </c>
      <c r="V25" s="14">
        <f>IF(
OR(
M25&lt;&gt;"في الموعد",
NOT(ISNUMBER(K25)),
NOT(ISNUMBER(H25))
),
"",
IF(
INT(K25)&gt;INT(H25),
"متأخر",
""
)
)</f>
        <v/>
      </c>
      <c r="W25" s="14">
        <f>IF(COUNT(F25:K25)=0,"",TEXT(IF(K25&lt;&gt;"",K25,IF(I25&lt;&gt;"",I25,IF(J25&lt;&gt;"",J25,IF(H25&lt;&gt;"",H25,IF(G25&lt;&gt;"",G25,F25))))),"[$-en-US]mmm"))</f>
        <v/>
      </c>
    </row>
    <row r="26">
      <c r="A26" s="14" t="n">
        <v>92</v>
      </c>
      <c r="B26" s="14" t="n">
        <v>723</v>
      </c>
      <c r="C26" t="inlineStr">
        <is>
          <t>تشريع توضيحي 025</t>
        </is>
      </c>
      <c r="D26" s="14" t="inlineStr">
        <is>
          <t>الاقتصاد والتنمية الاجتماعية</t>
        </is>
      </c>
      <c r="E26" s="14" t="inlineStr">
        <is>
          <t>السياسات والاستراتيجيات الاجتماعية</t>
        </is>
      </c>
      <c r="F26" s="268" t="n">
        <v>46154</v>
      </c>
      <c r="G26" s="268" t="n">
        <v>46155</v>
      </c>
      <c r="H26" s="268" t="n">
        <v>46178</v>
      </c>
      <c r="I26" s="268" t="n"/>
      <c r="J26" s="268" t="n">
        <v>46175</v>
      </c>
      <c r="K26" s="268" t="n">
        <v>46177</v>
      </c>
      <c r="L26" s="268" t="n">
        <v>46181</v>
      </c>
      <c r="M26" s="268" t="inlineStr">
        <is>
          <t>في الموعد</t>
        </is>
      </c>
      <c r="N26" s="268" t="n"/>
      <c r="O26" s="7" t="inlineStr">
        <is>
          <t>مغلق</t>
        </is>
      </c>
      <c r="P26" s="7" t="inlineStr">
        <is>
          <t>محلي</t>
        </is>
      </c>
      <c r="Q26" s="14" t="inlineStr">
        <is>
          <t>اللجنة العليا للتشريعات في إمارة دبي</t>
        </is>
      </c>
      <c r="R26" s="14" t="n"/>
      <c r="S26" s="14" t="n"/>
      <c r="T26" s="14" t="n">
        <v>2026</v>
      </c>
      <c r="U26" s="14">
        <f>IF(
K26&lt;&gt;"",
"",
IF(
IF(I26&lt;&gt;"",I26,H26)="",
"",
IF(
ValidationDate&gt;IF(I26&lt;&gt;"",I26,H26),
"متأخر",
""
)
)
)</f>
        <v/>
      </c>
      <c r="V26" s="14">
        <f>IF(
OR(
M26&lt;&gt;"في الموعد",
NOT(ISNUMBER(K26)),
NOT(ISNUMBER(H26))
),
"",
IF(
INT(K26)&gt;INT(H26),
"متأخر",
""
)
)</f>
        <v/>
      </c>
      <c r="W26" s="14">
        <f>IF(COUNT(F26:K26)=0,"",TEXT(IF(K26&lt;&gt;"",K26,IF(I26&lt;&gt;"",I26,IF(J26&lt;&gt;"",J26,IF(H26&lt;&gt;"",H26,IF(G26&lt;&gt;"",G26,F26))))),"[$-en-US]mmm"))</f>
        <v/>
      </c>
    </row>
    <row r="27">
      <c r="A27" s="14" t="n">
        <v>97</v>
      </c>
      <c r="B27" s="14" t="n">
        <v>752</v>
      </c>
      <c r="C27" t="inlineStr">
        <is>
          <t>تشريع توضيحي 026</t>
        </is>
      </c>
      <c r="D27" s="14" t="inlineStr">
        <is>
          <t>الاقتصاد والتنمية الاجتماعية</t>
        </is>
      </c>
      <c r="E27" s="14" t="inlineStr">
        <is>
          <t>السياسات والاستراتيجيات الاجتماعية</t>
        </is>
      </c>
      <c r="F27" s="268" t="n">
        <v>46160</v>
      </c>
      <c r="G27" s="268" t="n">
        <v>46160</v>
      </c>
      <c r="H27" s="268" t="n">
        <v>46185</v>
      </c>
      <c r="I27" s="268" t="n">
        <v>46192</v>
      </c>
      <c r="J27" s="268" t="n">
        <v>46182</v>
      </c>
      <c r="K27" s="268" t="n">
        <v>46190</v>
      </c>
      <c r="L27" s="268" t="n">
        <v>46191</v>
      </c>
      <c r="M27" s="268" t="inlineStr">
        <is>
          <t>في الموعد</t>
        </is>
      </c>
      <c r="N27" s="268" t="n"/>
      <c r="O27" s="7" t="inlineStr">
        <is>
          <t>مغلق</t>
        </is>
      </c>
      <c r="P27" s="7" t="inlineStr">
        <is>
          <t>اتحادي</t>
        </is>
      </c>
      <c r="Q27" s="14" t="inlineStr">
        <is>
          <t>اللجنة العليا للتشريعات في إمارة دبي</t>
        </is>
      </c>
      <c r="R27" s="14" t="n"/>
      <c r="S27" s="14" t="n"/>
      <c r="T27" s="14" t="n">
        <v>2026</v>
      </c>
      <c r="U27" s="14">
        <f>IF(
K27&lt;&gt;"",
"",
IF(
IF(I27&lt;&gt;"",I27,H27)="",
"",
IF(
ValidationDate&gt;IF(I27&lt;&gt;"",I27,H27),
"متأخر",
""
)
)
)</f>
        <v/>
      </c>
      <c r="V27" s="14">
        <f>IF(
OR(
M27&lt;&gt;"في الموعد",
NOT(ISNUMBER(K27)),
NOT(ISNUMBER(H27))
),
"",
IF(
INT(K27)&gt;INT(H27),
"متأخر",
""
)
)</f>
        <v/>
      </c>
      <c r="W27" s="14">
        <f>IF(COUNT(F27:K27)=0,"",TEXT(IF(K27&lt;&gt;"",K27,IF(I27&lt;&gt;"",I27,IF(J27&lt;&gt;"",J27,IF(H27&lt;&gt;"",H27,IF(G27&lt;&gt;"",G27,F27))))),"[$-en-US]mmm"))</f>
        <v/>
      </c>
    </row>
    <row r="28">
      <c r="A28" s="14" t="n">
        <v>101</v>
      </c>
      <c r="B28" s="14" t="n">
        <v>799</v>
      </c>
      <c r="C28" t="inlineStr">
        <is>
          <t>تشريع توضيحي 027</t>
        </is>
      </c>
      <c r="D28" s="14" t="inlineStr">
        <is>
          <t>الاقتصاد والتنمية الاجتماعية</t>
        </is>
      </c>
      <c r="E28" s="14" t="inlineStr">
        <is>
          <t>السياسات والاستراتيجيات الاجتماعية</t>
        </is>
      </c>
      <c r="F28" s="268" t="n">
        <v>46174</v>
      </c>
      <c r="G28" s="268" t="n">
        <v>46174</v>
      </c>
      <c r="H28" s="268" t="n">
        <v>46192</v>
      </c>
      <c r="I28" s="268" t="n"/>
      <c r="J28" s="268" t="n">
        <v>46190</v>
      </c>
      <c r="K28" s="268" t="n">
        <v>46174</v>
      </c>
      <c r="L28" s="268" t="n">
        <v>46177</v>
      </c>
      <c r="M28" s="268" t="inlineStr">
        <is>
          <t>في الموعد</t>
        </is>
      </c>
      <c r="N28" s="268" t="n"/>
      <c r="O28" s="7" t="inlineStr">
        <is>
          <t>مغلق</t>
        </is>
      </c>
      <c r="P28" s="7" t="inlineStr">
        <is>
          <t>محلي</t>
        </is>
      </c>
      <c r="Q28" s="14" t="inlineStr">
        <is>
          <t>اللجنة العليا للتشريعات في إمارة دبي</t>
        </is>
      </c>
      <c r="R28" s="14" t="n"/>
      <c r="S28" s="14" t="n"/>
      <c r="T28" s="14" t="n">
        <v>2026</v>
      </c>
      <c r="U28" s="14">
        <f>IF(
K28&lt;&gt;"",
"",
IF(
IF(I28&lt;&gt;"",I28,H28)="",
"",
IF(
ValidationDate&gt;IF(I28&lt;&gt;"",I28,H28),
"متأخر",
""
)
)
)</f>
        <v/>
      </c>
      <c r="V28" s="14">
        <f>IF(
OR(
M28&lt;&gt;"في الموعد",
NOT(ISNUMBER(K28)),
NOT(ISNUMBER(H28))
),
"",
IF(
INT(K28)&gt;INT(H28),
"متأخر",
""
)
)</f>
        <v/>
      </c>
      <c r="W28" s="14">
        <f>IF(COUNT(F28:K28)=0,"",TEXT(IF(K28&lt;&gt;"",K28,IF(I28&lt;&gt;"",I28,IF(J28&lt;&gt;"",J28,IF(H28&lt;&gt;"",H28,IF(G28&lt;&gt;"",G28,F28))))),"[$-en-US]mmm"))</f>
        <v/>
      </c>
    </row>
    <row r="29">
      <c r="A29" s="14" t="n">
        <v>115</v>
      </c>
      <c r="B29" s="14" t="n">
        <v>909</v>
      </c>
      <c r="C29" t="inlineStr">
        <is>
          <t>تشريع توضيحي 028</t>
        </is>
      </c>
      <c r="D29" s="14" t="inlineStr">
        <is>
          <t>الاقتصاد والتنمية الاجتماعية</t>
        </is>
      </c>
      <c r="E29" s="14" t="inlineStr">
        <is>
          <t>السياسات والاستراتيجيات الاجتماعية</t>
        </is>
      </c>
      <c r="F29" s="268" t="n">
        <v>46191</v>
      </c>
      <c r="G29" s="268" t="n">
        <v>46191</v>
      </c>
      <c r="H29" s="268" t="n">
        <v>46206</v>
      </c>
      <c r="I29" s="268" t="n"/>
      <c r="J29" s="268" t="n">
        <v>46203</v>
      </c>
      <c r="K29" s="268" t="n">
        <v>46203</v>
      </c>
      <c r="L29" s="268" t="n">
        <v>46212</v>
      </c>
      <c r="M29" s="268" t="inlineStr">
        <is>
          <t>في الموعد</t>
        </is>
      </c>
      <c r="N29" s="268" t="n"/>
      <c r="O29" s="7" t="inlineStr">
        <is>
          <t>مغلق</t>
        </is>
      </c>
      <c r="P29" s="7" t="inlineStr">
        <is>
          <t>اتحادي</t>
        </is>
      </c>
      <c r="Q29" s="14" t="inlineStr">
        <is>
          <t>اللجنة العليا للتشريعات في إمارة دبي</t>
        </is>
      </c>
      <c r="R29" s="14" t="n"/>
      <c r="S29" s="14" t="n"/>
      <c r="T29" s="14" t="n">
        <v>2026</v>
      </c>
      <c r="U29" s="14">
        <f>IF(
K29&lt;&gt;"",
"",
IF(
IF(I29&lt;&gt;"",I29,H29)="",
"",
IF(
ValidationDate&gt;IF(I29&lt;&gt;"",I29,H29),
"متأخر",
""
)
)
)</f>
        <v/>
      </c>
      <c r="V29" s="14">
        <f>IF(
OR(
M29&lt;&gt;"في الموعد",
NOT(ISNUMBER(K29)),
NOT(ISNUMBER(H29))
),
"",
IF(
INT(K29)&gt;INT(H29),
"متأخر",
""
)
)</f>
        <v/>
      </c>
      <c r="W29" s="14">
        <f>IF(COUNT(F29:K29)=0,"",TEXT(IF(K29&lt;&gt;"",K29,IF(I29&lt;&gt;"",I29,IF(J29&lt;&gt;"",J29,IF(H29&lt;&gt;"",H29,IF(G29&lt;&gt;"",G29,F29))))),"[$-en-US]mmm"))</f>
        <v/>
      </c>
    </row>
    <row r="30">
      <c r="A30" s="14" t="n">
        <v>117</v>
      </c>
      <c r="B30" s="14" t="n">
        <v>913</v>
      </c>
      <c r="C30" t="inlineStr">
        <is>
          <t>تشريع توضيحي 029</t>
        </is>
      </c>
      <c r="D30" s="14" t="inlineStr">
        <is>
          <t>الاقتصاد والتنمية الاجتماعية</t>
        </is>
      </c>
      <c r="E30" s="14" t="inlineStr">
        <is>
          <t>السياسات والاستراتيجيات الاجتماعية</t>
        </is>
      </c>
      <c r="F30" s="268" t="n">
        <v>46191</v>
      </c>
      <c r="G30" s="268" t="n">
        <v>46191</v>
      </c>
      <c r="H30" s="268" t="n">
        <v>46206</v>
      </c>
      <c r="I30" s="268" t="n"/>
      <c r="J30" s="268" t="n">
        <v>46203</v>
      </c>
      <c r="K30" s="268" t="n">
        <v>46203</v>
      </c>
      <c r="L30" s="268" t="n">
        <v>46205</v>
      </c>
      <c r="M30" s="268" t="inlineStr">
        <is>
          <t>في الموعد</t>
        </is>
      </c>
      <c r="N30" s="268" t="n"/>
      <c r="O30" s="7" t="inlineStr">
        <is>
          <t>مغلق</t>
        </is>
      </c>
      <c r="P30" s="7" t="inlineStr">
        <is>
          <t>اتحادي</t>
        </is>
      </c>
      <c r="Q30" s="14" t="inlineStr">
        <is>
          <t>اللجنة العليا للتشريعات في إمارة دبي</t>
        </is>
      </c>
      <c r="R30" s="14" t="n"/>
      <c r="S30" s="14" t="n"/>
      <c r="T30" s="14" t="n">
        <v>2026</v>
      </c>
      <c r="U30" s="14">
        <f>IF(
K30&lt;&gt;"",
"",
IF(
IF(I30&lt;&gt;"",I30,H30)="",
"",
IF(
ValidationDate&gt;IF(I30&lt;&gt;"",I30,H30),
"متأخر",
""
)
)
)</f>
        <v/>
      </c>
      <c r="V30" s="14">
        <f>IF(
OR(
M30&lt;&gt;"في الموعد",
NOT(ISNUMBER(K30)),
NOT(ISNUMBER(H30))
),
"",
IF(
INT(K30)&gt;INT(H30),
"متأخر",
""
)
)</f>
        <v/>
      </c>
      <c r="W30" s="14">
        <f>IF(COUNT(F30:K30)=0,"",TEXT(IF(K30&lt;&gt;"",K30,IF(I30&lt;&gt;"",I30,IF(J30&lt;&gt;"",J30,IF(H30&lt;&gt;"",H30,IF(G30&lt;&gt;"",G30,F30))))),"[$-en-US]mmm"))</f>
        <v/>
      </c>
    </row>
    <row r="31">
      <c r="A31" s="14" t="n">
        <v>120</v>
      </c>
      <c r="B31" s="14" t="n">
        <v>945</v>
      </c>
      <c r="C31" t="inlineStr">
        <is>
          <t>تشريع توضيحي 030</t>
        </is>
      </c>
      <c r="D31" s="14" t="inlineStr">
        <is>
          <t>الاقتصاد والتنمية الاجتماعية</t>
        </is>
      </c>
      <c r="E31" s="14" t="inlineStr">
        <is>
          <t>السياسات والاستراتيجيات الاجتماعية</t>
        </is>
      </c>
      <c r="F31" s="268" t="n">
        <v>46198</v>
      </c>
      <c r="G31" s="268" t="n">
        <v>46198</v>
      </c>
      <c r="H31" s="268" t="n">
        <v>46206</v>
      </c>
      <c r="I31" s="268" t="n">
        <v>46218</v>
      </c>
      <c r="J31" s="268" t="n">
        <v>46210</v>
      </c>
      <c r="K31" s="268" t="n">
        <v>46212</v>
      </c>
      <c r="L31" s="268" t="n">
        <v>46216</v>
      </c>
      <c r="M31" s="268" t="inlineStr">
        <is>
          <t>في الموعد</t>
        </is>
      </c>
      <c r="N31" s="268" t="n"/>
      <c r="O31" s="7" t="inlineStr">
        <is>
          <t>مغلق</t>
        </is>
      </c>
      <c r="P31" s="7" t="inlineStr">
        <is>
          <t>محلي</t>
        </is>
      </c>
      <c r="Q31" s="14" t="inlineStr">
        <is>
          <t>اللجنة العليا للتشريعات في إمارة دبي</t>
        </is>
      </c>
      <c r="R31" s="14" t="n"/>
      <c r="S31" s="14" t="n"/>
      <c r="T31" s="14" t="n">
        <v>2026</v>
      </c>
      <c r="U31" s="14">
        <f>IF(
K31&lt;&gt;"",
"",
IF(
IF(I31&lt;&gt;"",I31,H31)="",
"",
IF(
ValidationDate&gt;IF(I31&lt;&gt;"",I31,H31),
"متأخر",
""
)
)
)</f>
        <v/>
      </c>
      <c r="V31" s="14">
        <f>IF(
OR(
M31&lt;&gt;"في الموعد",
NOT(ISNUMBER(K31)),
NOT(ISNUMBER(H31))
),
"",
IF(
INT(K31)&gt;INT(H31),
"متأخر",
""
)
)</f>
        <v/>
      </c>
      <c r="W31" s="14">
        <f>IF(COUNT(F31:K31)=0,"",TEXT(IF(K31&lt;&gt;"",K31,IF(I31&lt;&gt;"",I31,IF(J31&lt;&gt;"",J31,IF(H31&lt;&gt;"",H31,IF(G31&lt;&gt;"",G31,F31))))),"[$-en-US]mmm"))</f>
        <v/>
      </c>
    </row>
    <row r="32">
      <c r="A32" s="14" t="n">
        <v>132</v>
      </c>
      <c r="B32" s="14" t="n">
        <v>1031</v>
      </c>
      <c r="C32" t="inlineStr">
        <is>
          <t>تشريع توضيحي 031</t>
        </is>
      </c>
      <c r="D32" s="14" t="inlineStr">
        <is>
          <t>الاقتصاد والتنمية الاجتماعية</t>
        </is>
      </c>
      <c r="E32" s="14" t="inlineStr">
        <is>
          <t>السياسات والاستراتيجيات الاجتماعية</t>
        </is>
      </c>
      <c r="F32" s="268" t="n">
        <v>46213</v>
      </c>
      <c r="G32" s="268" t="n">
        <v>46213</v>
      </c>
      <c r="H32" s="268" t="n">
        <v>46227</v>
      </c>
      <c r="I32" s="268" t="n"/>
      <c r="J32" s="268" t="n">
        <v>46224</v>
      </c>
      <c r="K32" s="268" t="n">
        <v>46226</v>
      </c>
      <c r="L32" s="268" t="n">
        <v>46227</v>
      </c>
      <c r="M32" s="268" t="inlineStr">
        <is>
          <t>في الموعد</t>
        </is>
      </c>
      <c r="N32" s="268" t="n"/>
      <c r="O32" s="7" t="inlineStr">
        <is>
          <t>مغلق</t>
        </is>
      </c>
      <c r="P32" s="7" t="inlineStr">
        <is>
          <t>محلي</t>
        </is>
      </c>
      <c r="Q32" s="14" t="inlineStr">
        <is>
          <t>اللجنة العليا للتشريعات في إمارة دبي</t>
        </is>
      </c>
      <c r="R32" s="14" t="n"/>
      <c r="S32" s="14" t="n"/>
      <c r="T32" s="14" t="n">
        <v>2026</v>
      </c>
      <c r="U32" s="14">
        <f>IF(
K32&lt;&gt;"",
"",
IF(
IF(I32&lt;&gt;"",I32,H32)="",
"",
IF(
ValidationDate&gt;IF(I32&lt;&gt;"",I32,H32),
"متأخر",
""
)
)
)</f>
        <v/>
      </c>
      <c r="V32" s="14">
        <f>IF(
OR(
M32&lt;&gt;"في الموعد",
NOT(ISNUMBER(K32)),
NOT(ISNUMBER(H32))
),
"",
IF(
INT(K32)&gt;INT(H32),
"متأخر",
""
)
)</f>
        <v/>
      </c>
      <c r="W32" s="14">
        <f>IF(COUNT(F32:K32)=0,"",TEXT(IF(K32&lt;&gt;"",K32,IF(I32&lt;&gt;"",I32,IF(J32&lt;&gt;"",J32,IF(H32&lt;&gt;"",H32,IF(G32&lt;&gt;"",G32,F32))))),"[$-en-US]mmm"))</f>
        <v/>
      </c>
    </row>
    <row r="33">
      <c r="A33" s="14" t="n">
        <v>134</v>
      </c>
      <c r="B33" s="14" t="n">
        <v>1066</v>
      </c>
      <c r="C33" t="inlineStr">
        <is>
          <t>تشريع توضيحي 032</t>
        </is>
      </c>
      <c r="D33" s="14" t="inlineStr">
        <is>
          <t>الاقتصاد والتنمية الاجتماعية</t>
        </is>
      </c>
      <c r="E33" s="14" t="inlineStr">
        <is>
          <t>السياسات والاستراتيجيات الاجتماعية</t>
        </is>
      </c>
      <c r="F33" s="268" t="n">
        <v>46218</v>
      </c>
      <c r="G33" s="268" t="n">
        <v>46218</v>
      </c>
      <c r="H33" s="268" t="n">
        <v>46223</v>
      </c>
      <c r="I33" s="268" t="n"/>
      <c r="J33" s="268" t="n">
        <v>46220</v>
      </c>
      <c r="K33" s="268" t="n">
        <v>46223</v>
      </c>
      <c r="L33" s="268" t="n">
        <v>46227</v>
      </c>
      <c r="M33" s="268" t="inlineStr">
        <is>
          <t>في الموعد</t>
        </is>
      </c>
      <c r="N33" s="268" t="n"/>
      <c r="O33" s="7" t="inlineStr">
        <is>
          <t>مغلق</t>
        </is>
      </c>
      <c r="P33" s="7" t="inlineStr">
        <is>
          <t>اتحادي</t>
        </is>
      </c>
      <c r="Q33" s="14" t="inlineStr">
        <is>
          <t>اللجنة العليا للتشريعات في إمارة دبي</t>
        </is>
      </c>
      <c r="R33" s="14" t="n"/>
      <c r="S33" s="14" t="n"/>
      <c r="T33" s="14" t="n">
        <v>2026</v>
      </c>
      <c r="U33" s="14">
        <f>IF(
K33&lt;&gt;"",
"",
IF(
IF(I33&lt;&gt;"",I33,H33)="",
"",
IF(
ValidationDate&gt;IF(I33&lt;&gt;"",I33,H33),
"متأخر",
""
)
)
)</f>
        <v/>
      </c>
      <c r="V33" s="14">
        <f>IF(
OR(
M33&lt;&gt;"في الموعد",
NOT(ISNUMBER(K33)),
NOT(ISNUMBER(H33))
),
"",
IF(
INT(K33)&gt;INT(H33),
"متأخر",
""
)
)</f>
        <v/>
      </c>
      <c r="W33" s="14">
        <f>IF(COUNT(F33:K33)=0,"",TEXT(IF(K33&lt;&gt;"",K33,IF(I33&lt;&gt;"",I33,IF(J33&lt;&gt;"",J33,IF(H33&lt;&gt;"",H33,IF(G33&lt;&gt;"",G33,F33))))),"[$-en-US]mmm"))</f>
        <v/>
      </c>
    </row>
    <row r="34">
      <c r="A34" s="14" t="n">
        <v>135</v>
      </c>
      <c r="B34" s="14" t="n">
        <v>1093</v>
      </c>
      <c r="C34" t="inlineStr">
        <is>
          <t>تشريع توضيحي 033</t>
        </is>
      </c>
      <c r="D34" s="14" t="inlineStr">
        <is>
          <t>الاقتصاد والتنمية الاجتماعية</t>
        </is>
      </c>
      <c r="E34" s="14" t="inlineStr">
        <is>
          <t>السياسات والاستراتيجيات الاجتماعية</t>
        </is>
      </c>
      <c r="F34" s="268" t="n">
        <v>46220</v>
      </c>
      <c r="G34" s="268" t="n">
        <v>46223</v>
      </c>
      <c r="H34" s="268" t="n">
        <v>46234</v>
      </c>
      <c r="I34" s="268" t="n"/>
      <c r="J34" s="268" t="n">
        <v>46231</v>
      </c>
      <c r="K34" s="268" t="n">
        <v>46233</v>
      </c>
      <c r="L34" s="268" t="n">
        <v>46234</v>
      </c>
      <c r="M34" s="268" t="inlineStr">
        <is>
          <t>في الموعد</t>
        </is>
      </c>
      <c r="N34" s="268" t="n"/>
      <c r="O34" s="7" t="inlineStr">
        <is>
          <t>مغلق</t>
        </is>
      </c>
      <c r="P34" s="7" t="inlineStr">
        <is>
          <t>اتحادي</t>
        </is>
      </c>
      <c r="Q34" s="14" t="inlineStr">
        <is>
          <t>اللجنة العليا للتشريعات في إمارة دبي</t>
        </is>
      </c>
      <c r="R34" s="14" t="n"/>
      <c r="S34" s="14" t="n"/>
      <c r="T34" s="14" t="n">
        <v>2026</v>
      </c>
      <c r="U34" s="14">
        <f>IF(
   K34&lt;&gt;"",
   "",
   IF(
      IF(I34&lt;&gt;"",I34,H34)="",
      "",
      IF(
         ValidationDate&gt;IF(I34&lt;&gt;"",I34,H34),
         "متأخر",
         ""
      )
   )
)</f>
        <v/>
      </c>
      <c r="V34" s="14">
        <f>IF(
OR(
M34&lt;&gt;"في الموعد",
NOT(ISNUMBER(K34)),
NOT(ISNUMBER(H34))
),
"",
IF(
INT(K34)&gt;INT(H34),
"متأخر",
""
)
)</f>
        <v/>
      </c>
      <c r="W34" s="14">
        <f>IF(COUNT(F34:K34)=0,"",TEXT(IF(K34&lt;&gt;"",K34,IF(I34&lt;&gt;"",I34,IF(J34&lt;&gt;"",J34,IF(H34&lt;&gt;"",H34,IF(G34&lt;&gt;"",G34,F34))))),"[$-en-US]mmm"))</f>
        <v/>
      </c>
    </row>
    <row r="35">
      <c r="A35" s="14" t="n">
        <v>136</v>
      </c>
      <c r="B35" s="14" t="n">
        <v>1094</v>
      </c>
      <c r="C35" t="inlineStr">
        <is>
          <t>تشريع توضيحي 034</t>
        </is>
      </c>
      <c r="D35" s="14" t="inlineStr">
        <is>
          <t>الاقتصاد والتنمية الاجتماعية</t>
        </is>
      </c>
      <c r="E35" s="14" t="inlineStr">
        <is>
          <t>السياسات والاستراتيجيات الاجتماعية</t>
        </is>
      </c>
      <c r="F35" s="268" t="n">
        <v>46220</v>
      </c>
      <c r="G35" s="268" t="n">
        <v>46223</v>
      </c>
      <c r="H35" s="268" t="n">
        <v>46241</v>
      </c>
      <c r="I35" s="268" t="n"/>
      <c r="J35" s="268" t="n">
        <v>46238</v>
      </c>
      <c r="K35" s="268" t="n">
        <v>46240</v>
      </c>
      <c r="L35" s="268" t="n">
        <v>46244</v>
      </c>
      <c r="M35" s="268" t="inlineStr">
        <is>
          <t>في الموعد</t>
        </is>
      </c>
      <c r="N35" s="268" t="n"/>
      <c r="O35" s="7" t="inlineStr">
        <is>
          <t>مغلق</t>
        </is>
      </c>
      <c r="P35" s="7" t="inlineStr">
        <is>
          <t>محلي</t>
        </is>
      </c>
      <c r="Q35" s="14" t="inlineStr">
        <is>
          <t>اللجنة العليا للتشريعات في إمارة دبي</t>
        </is>
      </c>
      <c r="R35" s="14" t="n"/>
      <c r="S35" s="14" t="n"/>
      <c r="T35" s="14" t="n">
        <v>2026</v>
      </c>
      <c r="U35" s="14">
        <f>IF(
K35&lt;&gt;"",
"",
IF(
IF(I35&lt;&gt;"",I35,H35)="",
"",
IF(
ValidationDate&gt;IF(I35&lt;&gt;"",I35,H35),
"متأخر",
""
)
)
)</f>
        <v/>
      </c>
      <c r="V35" s="14">
        <f>IF(
OR(
M35&lt;&gt;"في الموعد",
NOT(ISNUMBER(K35)),
NOT(ISNUMBER(H35))
),
"",
IF(
INT(K35)&gt;INT(H35),
"متأخر",
""
)
)</f>
        <v/>
      </c>
      <c r="W35" s="14">
        <f>IF(COUNT(F35:K35)=0,"",TEXT(IF(K35&lt;&gt;"",K35,IF(I35&lt;&gt;"",I35,IF(J35&lt;&gt;"",J35,IF(H35&lt;&gt;"",H35,IF(G35&lt;&gt;"",G35,F35))))),"[$-en-US]mmm"))</f>
        <v/>
      </c>
    </row>
    <row r="36">
      <c r="A36" s="14" t="n">
        <v>137</v>
      </c>
      <c r="B36" s="14" t="n">
        <v>1101</v>
      </c>
      <c r="C36" t="inlineStr">
        <is>
          <t>تشريع توضيحي 035</t>
        </is>
      </c>
      <c r="D36" s="14" t="inlineStr">
        <is>
          <t>الاقتصاد والتنمية الاجتماعية</t>
        </is>
      </c>
      <c r="E36" s="14" t="inlineStr">
        <is>
          <t>السياسات والاستراتيجيات الاجتماعية</t>
        </is>
      </c>
      <c r="F36" s="268" t="n">
        <v>46223</v>
      </c>
      <c r="G36" s="268" t="n">
        <v>46223</v>
      </c>
      <c r="H36" s="268" t="n">
        <v>46234</v>
      </c>
      <c r="I36" s="268" t="n"/>
      <c r="J36" s="268" t="n">
        <v>46231</v>
      </c>
      <c r="K36" s="268" t="n">
        <v>46233</v>
      </c>
      <c r="L36" s="268" t="n">
        <v>46234</v>
      </c>
      <c r="M36" s="268" t="inlineStr">
        <is>
          <t>في الموعد</t>
        </is>
      </c>
      <c r="N36" s="268" t="n"/>
      <c r="O36" s="7" t="inlineStr">
        <is>
          <t>مغلق</t>
        </is>
      </c>
      <c r="P36" s="7" t="inlineStr">
        <is>
          <t>اتحادي</t>
        </is>
      </c>
      <c r="Q36" s="14" t="inlineStr">
        <is>
          <t>اللجنة العليا للتشريعات في إمارة دبي</t>
        </is>
      </c>
      <c r="R36" s="14" t="n"/>
      <c r="S36" s="14" t="n"/>
      <c r="T36" s="14" t="n">
        <v>2026</v>
      </c>
      <c r="U36" s="14">
        <f>IF(
K36&lt;&gt;"",
"",
IF(
IF(I36&lt;&gt;"",I36,H36)="",
"",
IF(
ValidationDate&gt;IF(I36&lt;&gt;"",I36,H36),
"متأخر",
""
)
)
)</f>
        <v/>
      </c>
      <c r="V36" s="14">
        <f>IF(
OR(
M36&lt;&gt;"في الموعد",
NOT(ISNUMBER(K36)),
NOT(ISNUMBER(H36))
),
"",
IF(
INT(K36)&gt;INT(H36),
"متأخر",
""
)
)</f>
        <v/>
      </c>
      <c r="W36" s="14">
        <f>IF(COUNT(F36:K36)=0,"",TEXT(IF(K36&lt;&gt;"",K36,IF(I36&lt;&gt;"",I36,IF(J36&lt;&gt;"",J36,IF(H36&lt;&gt;"",H36,IF(G36&lt;&gt;"",G36,F36))))),"[$-en-US]mmm"))</f>
        <v/>
      </c>
    </row>
    <row r="37">
      <c r="A37" s="14" t="n">
        <v>146</v>
      </c>
      <c r="B37" s="14" t="n">
        <v>1149</v>
      </c>
      <c r="C37" t="inlineStr">
        <is>
          <t>تشريع توضيحي 036</t>
        </is>
      </c>
      <c r="D37" s="14" t="inlineStr">
        <is>
          <t>الاقتصاد والتنمية الاجتماعية</t>
        </is>
      </c>
      <c r="E37" s="14" t="inlineStr">
        <is>
          <t>السياسات والاستراتيجيات الاجتماعية</t>
        </is>
      </c>
      <c r="F37" s="268" t="n">
        <v>46231</v>
      </c>
      <c r="G37" s="268" t="n">
        <v>46232</v>
      </c>
      <c r="H37" s="268" t="n">
        <v>46248</v>
      </c>
      <c r="I37" s="268" t="n"/>
      <c r="J37" s="268" t="n">
        <v>46245</v>
      </c>
      <c r="K37" s="268" t="n">
        <v>46245</v>
      </c>
      <c r="L37" s="268" t="n">
        <v>46246</v>
      </c>
      <c r="M37" s="268" t="inlineStr">
        <is>
          <t>في الموعد</t>
        </is>
      </c>
      <c r="N37" s="268" t="n"/>
      <c r="O37" s="7" t="inlineStr">
        <is>
          <t>مغلق</t>
        </is>
      </c>
      <c r="P37" s="7" t="inlineStr">
        <is>
          <t>محلي</t>
        </is>
      </c>
      <c r="Q37" s="14" t="inlineStr">
        <is>
          <t>اللجنة العليا للتشريعات في إمارة دبي</t>
        </is>
      </c>
      <c r="R37" s="14" t="n"/>
      <c r="S37" s="14" t="n"/>
      <c r="T37" s="14" t="n">
        <v>2026</v>
      </c>
      <c r="U37" s="14">
        <f>IF(
K37&lt;&gt;"",
"",
IF(
IF(I37&lt;&gt;"",I37,H37)="",
"",
IF(
ValidationDate&gt;IF(I37&lt;&gt;"",I37,H37),
"متأخر",
""
)
)
)</f>
        <v/>
      </c>
      <c r="V37" s="14">
        <f>IF(
OR(
M37&lt;&gt;"في الموعد",
NOT(ISNUMBER(K37)),
NOT(ISNUMBER(H37))
),
"",
IF(
INT(K37)&gt;INT(H37),
"متأخر",
""
)
)</f>
        <v/>
      </c>
      <c r="W37" s="14">
        <f>IF(COUNT(F37:K37)=0,"",TEXT(IF(K37&lt;&gt;"",K37,IF(I37&lt;&gt;"",I37,IF(J37&lt;&gt;"",J37,IF(H37&lt;&gt;"",H37,IF(G37&lt;&gt;"",G37,F37))))),"[$-en-US]mmm"))</f>
        <v/>
      </c>
    </row>
    <row r="38">
      <c r="A38" s="14" t="n">
        <v>155</v>
      </c>
      <c r="B38" s="14" t="n">
        <v>1208</v>
      </c>
      <c r="C38" t="inlineStr">
        <is>
          <t>تشريع توضيحي 037</t>
        </is>
      </c>
      <c r="D38" s="14" t="inlineStr">
        <is>
          <t>الاقتصاد والتنمية الاجتماعية</t>
        </is>
      </c>
      <c r="E38" s="14" t="inlineStr">
        <is>
          <t>السياسات والاستراتيجيات الاجتماعية</t>
        </is>
      </c>
      <c r="F38" s="268" t="n">
        <v>46241</v>
      </c>
      <c r="G38" s="268" t="n">
        <v>46241</v>
      </c>
      <c r="H38" s="268" t="n">
        <v>46255</v>
      </c>
      <c r="I38" s="268" t="n"/>
      <c r="J38" s="268" t="n">
        <v>46252</v>
      </c>
      <c r="K38" s="268" t="n">
        <v>46254</v>
      </c>
      <c r="L38" s="268" t="n">
        <v>46255</v>
      </c>
      <c r="M38" s="268" t="inlineStr">
        <is>
          <t>في الموعد</t>
        </is>
      </c>
      <c r="N38" s="268" t="n"/>
      <c r="O38" s="7" t="inlineStr">
        <is>
          <t>مغلق</t>
        </is>
      </c>
      <c r="P38" s="7" t="inlineStr">
        <is>
          <t>محلي</t>
        </is>
      </c>
      <c r="Q38" s="14" t="inlineStr">
        <is>
          <t>اللجنة العليا للتشريعات في إمارة دبي</t>
        </is>
      </c>
      <c r="R38" s="14" t="n"/>
      <c r="S38" s="14" t="n"/>
      <c r="T38" s="14" t="n">
        <v>2026</v>
      </c>
      <c r="U38" s="14">
        <f>IF(
K38&lt;&gt;"",
"",
IF(
IF(I38&lt;&gt;"",I38,H38)="",
"",
IF(
ValidationDate&gt;IF(I38&lt;&gt;"",I38,H38),
"متأخر",
""
)
)
)</f>
        <v/>
      </c>
      <c r="V38" s="14">
        <f>IF(
OR(
M38&lt;&gt;"في الموعد",
NOT(ISNUMBER(K38)),
NOT(ISNUMBER(H38))
),
"",
IF(
INT(K38)&gt;INT(H38),
"متأخر",
""
)
)</f>
        <v/>
      </c>
      <c r="W38" s="14">
        <f>IF(COUNT(F38:K38)=0,"",TEXT(IF(K38&lt;&gt;"",K38,IF(I38&lt;&gt;"",I38,IF(J38&lt;&gt;"",J38,IF(H38&lt;&gt;"",H38,IF(G38&lt;&gt;"",G38,F38))))),"[$-en-US]mmm"))</f>
        <v/>
      </c>
    </row>
    <row r="39">
      <c r="A39" s="14" t="n">
        <v>187</v>
      </c>
      <c r="B39" s="14" t="n">
        <v>1406</v>
      </c>
      <c r="C39" t="inlineStr">
        <is>
          <t>تشريع توضيحي 038</t>
        </is>
      </c>
      <c r="D39" s="14" t="inlineStr">
        <is>
          <t>الاقتصاد والتنمية الاجتماعية</t>
        </is>
      </c>
      <c r="E39" s="14" t="inlineStr">
        <is>
          <t>السياسات والاستراتيجيات الاجتماعية</t>
        </is>
      </c>
      <c r="F39" s="268" t="n">
        <v>46286</v>
      </c>
      <c r="G39" s="268" t="n">
        <v>46286</v>
      </c>
      <c r="H39" s="268" t="n">
        <v>46318</v>
      </c>
      <c r="I39" s="268" t="n"/>
      <c r="J39" s="268" t="n">
        <v>46315</v>
      </c>
      <c r="K39" s="268" t="n"/>
      <c r="L39" s="268" t="n"/>
      <c r="M39" s="268" t="inlineStr">
        <is>
          <t>قيد الإجراء</t>
        </is>
      </c>
      <c r="N39" s="268" t="n"/>
      <c r="O39" s="7" t="inlineStr">
        <is>
          <t>قيد المراجعة</t>
        </is>
      </c>
      <c r="P39" s="7" t="inlineStr">
        <is>
          <t>محلي</t>
        </is>
      </c>
      <c r="Q39" s="14" t="inlineStr">
        <is>
          <t>اللجنة العليا للتشريعات في إمارة دبي</t>
        </is>
      </c>
      <c r="R39" s="14" t="n"/>
      <c r="S39" s="14" t="n"/>
      <c r="T39" s="14" t="n">
        <v>2026</v>
      </c>
      <c r="U39" s="14">
        <f>IF(
K39&lt;&gt;"",
"",
IF(
IF(I39&lt;&gt;"",I39,H39)="",
"",
IF(
ValidationDate&gt;IF(I39&lt;&gt;"",I39,H39),
"متأخر",
""
)
)
)</f>
        <v/>
      </c>
      <c r="V39" s="14">
        <f>IF(
OR(
M39&lt;&gt;"في الموعد",
NOT(ISNUMBER(K39)),
NOT(ISNUMBER(H39))
),
"",
IF(
INT(K39)&gt;INT(H39),
"متأخر",
""
)
)</f>
        <v/>
      </c>
      <c r="W39" s="14">
        <f>IF(COUNT(F39:K39)=0,"",TEXT(IF(K39&lt;&gt;"",K39,IF(I39&lt;&gt;"",I39,IF(J39&lt;&gt;"",J39,IF(H39&lt;&gt;"",H39,IF(G39&lt;&gt;"",G39,F39))))),"[$-en-US]mmm"))</f>
        <v/>
      </c>
    </row>
    <row r="40">
      <c r="A40" s="14" t="n">
        <v>193</v>
      </c>
      <c r="B40" s="14" t="n">
        <v>1200</v>
      </c>
      <c r="C40" t="inlineStr">
        <is>
          <t>تشريع توضيحي 039</t>
        </is>
      </c>
      <c r="D40" s="14" t="inlineStr">
        <is>
          <t>الاقتصاد والتنمية الاجتماعية</t>
        </is>
      </c>
      <c r="E40" s="14" t="inlineStr">
        <is>
          <t>السياسات والاستراتيجيات الاجتماعية</t>
        </is>
      </c>
      <c r="F40" s="268" t="n">
        <v>46239</v>
      </c>
      <c r="G40" s="268" t="n">
        <v>46239</v>
      </c>
      <c r="H40" s="268" t="n">
        <v>46269</v>
      </c>
      <c r="I40" s="268" t="n">
        <v>46286</v>
      </c>
      <c r="J40" s="268" t="n">
        <v>46266</v>
      </c>
      <c r="K40" s="268" t="n">
        <v>46274</v>
      </c>
      <c r="L40" s="268" t="n">
        <v>46275</v>
      </c>
      <c r="M40" s="268" t="inlineStr">
        <is>
          <t>في الموعد</t>
        </is>
      </c>
      <c r="N40" s="268" t="n"/>
      <c r="O40" s="7" t="inlineStr">
        <is>
          <t>مغلق</t>
        </is>
      </c>
      <c r="P40" s="7" t="inlineStr">
        <is>
          <t>اتحادي</t>
        </is>
      </c>
      <c r="Q40" s="14" t="inlineStr">
        <is>
          <t>اللجنة العليا للتشريعات في إمارة دبي</t>
        </is>
      </c>
      <c r="R40" s="14" t="n"/>
      <c r="S40" s="14" t="n"/>
      <c r="T40" s="14" t="n">
        <v>2026</v>
      </c>
      <c r="U40" s="14">
        <f>IF(
K40&lt;&gt;"",
"",
IF(
IF(I40&lt;&gt;"",I40,H40)="",
"",
IF(
ValidationDate&gt;IF(I40&lt;&gt;"",I40,H40),
"متأخر",
""
)
)
)</f>
        <v/>
      </c>
      <c r="V40" s="14">
        <f>IF(
OR(
M40&lt;&gt;"في الموعد",
NOT(ISNUMBER(K40)),
NOT(ISNUMBER(H40))
),
"",
IF(
INT(K40)&gt;INT(H40),
"متأخر",
""
)
)</f>
        <v/>
      </c>
      <c r="W40" s="14">
        <f>IF(COUNT(F40:K40)=0,"",TEXT(IF(K40&lt;&gt;"",K40,IF(I40&lt;&gt;"",I40,IF(J40&lt;&gt;"",J40,IF(H40&lt;&gt;"",H40,IF(G40&lt;&gt;"",G40,F40))))),"[$-en-US]mmm"))</f>
        <v/>
      </c>
    </row>
    <row r="41">
      <c r="A41" s="14" t="n">
        <v>197</v>
      </c>
      <c r="B41" s="14" t="n">
        <v>1270</v>
      </c>
      <c r="C41" t="inlineStr">
        <is>
          <t>تشريع توضيحي 040</t>
        </is>
      </c>
      <c r="D41" s="14" t="inlineStr">
        <is>
          <t>الاقتصاد والتنمية الاجتماعية</t>
        </is>
      </c>
      <c r="E41" s="14" t="inlineStr">
        <is>
          <t>السياسات والاستراتيجيات الاجتماعية</t>
        </is>
      </c>
      <c r="F41" s="268" t="n">
        <v>46258</v>
      </c>
      <c r="G41" s="268" t="n">
        <v>46258</v>
      </c>
      <c r="H41" s="268" t="n">
        <v>46276</v>
      </c>
      <c r="I41" s="268" t="n"/>
      <c r="J41" s="268" t="n">
        <v>46273</v>
      </c>
      <c r="K41" s="268" t="n">
        <v>46275</v>
      </c>
      <c r="L41" s="268" t="n">
        <v>46276</v>
      </c>
      <c r="M41" s="268" t="inlineStr">
        <is>
          <t>في الموعد</t>
        </is>
      </c>
      <c r="N41" s="268" t="n"/>
      <c r="O41" s="7" t="inlineStr">
        <is>
          <t>مغلق</t>
        </is>
      </c>
      <c r="P41" s="7" t="inlineStr">
        <is>
          <t>محلي</t>
        </is>
      </c>
      <c r="Q41" s="14" t="inlineStr">
        <is>
          <t>اللجنة العليا للتشريعات في إمارة دبي</t>
        </is>
      </c>
      <c r="R41" s="14" t="n"/>
      <c r="S41" s="14" t="n"/>
      <c r="T41" s="14" t="n">
        <v>2026</v>
      </c>
      <c r="U41" s="14">
        <f>IF(
K41&lt;&gt;"",
"",
IF(
IF(I41&lt;&gt;"",I41,H41)="",
"",
IF(
ValidationDate&gt;IF(I41&lt;&gt;"",I41,H41),
"متأخر",
""
)
)
)</f>
        <v/>
      </c>
      <c r="V41" s="14">
        <f>IF(
OR(
M41&lt;&gt;"في الموعد",
NOT(ISNUMBER(K41)),
NOT(ISNUMBER(H41))
),
"",
IF(
INT(K41)&gt;INT(H41),
"متأخر",
""
)
)</f>
        <v/>
      </c>
      <c r="W41" s="14">
        <f>IF(COUNT(F41:K41)=0,"",TEXT(IF(K41&lt;&gt;"",K41,IF(I41&lt;&gt;"",I41,IF(J41&lt;&gt;"",J41,IF(H41&lt;&gt;"",H41,IF(G41&lt;&gt;"",G41,F41))))),"[$-en-US]mmm"))</f>
        <v/>
      </c>
    </row>
    <row r="42">
      <c r="A42" s="14" t="n">
        <v>198</v>
      </c>
      <c r="B42" s="14" t="n">
        <v>1279</v>
      </c>
      <c r="C42" t="inlineStr">
        <is>
          <t>تشريع توضيحي 041</t>
        </is>
      </c>
      <c r="D42" s="14" t="inlineStr">
        <is>
          <t>الاقتصاد والتنمية الاجتماعية</t>
        </is>
      </c>
      <c r="E42" s="14" t="inlineStr">
        <is>
          <t>السياسات والاستراتيجيات الاجتماعية</t>
        </is>
      </c>
      <c r="F42" s="268" t="n">
        <v>46259</v>
      </c>
      <c r="G42" s="268" t="n">
        <v>46259</v>
      </c>
      <c r="H42" s="268" t="n">
        <v>46276</v>
      </c>
      <c r="I42" s="268" t="n"/>
      <c r="J42" s="268" t="n">
        <v>46273</v>
      </c>
      <c r="K42" s="268" t="n">
        <v>46274</v>
      </c>
      <c r="L42" s="268" t="n">
        <v>46276</v>
      </c>
      <c r="M42" s="268" t="inlineStr">
        <is>
          <t>في الموعد</t>
        </is>
      </c>
      <c r="N42" s="268" t="n"/>
      <c r="O42" s="7" t="inlineStr">
        <is>
          <t>مغلق</t>
        </is>
      </c>
      <c r="P42" s="7" t="inlineStr">
        <is>
          <t>محلي</t>
        </is>
      </c>
      <c r="Q42" s="14" t="inlineStr">
        <is>
          <t>هيئة المعرفة والتنمية البشرية</t>
        </is>
      </c>
      <c r="R42" s="14" t="n"/>
      <c r="S42" s="14" t="n"/>
      <c r="T42" s="14" t="n">
        <v>2026</v>
      </c>
      <c r="U42" s="14">
        <f>IF(
K42&lt;&gt;"",
"",
IF(
IF(I42&lt;&gt;"",I42,H42)="",
"",
IF(
ValidationDate&gt;IF(I42&lt;&gt;"",I42,H42),
"متأخر",
""
)
)
)</f>
        <v/>
      </c>
      <c r="V42" s="14">
        <f>IF(
OR(
M42&lt;&gt;"في الموعد",
NOT(ISNUMBER(K42)),
NOT(ISNUMBER(H42))
),
"",
IF(
INT(K42)&gt;INT(H42),
"متأخر",
""
)
)</f>
        <v/>
      </c>
      <c r="W42" s="14">
        <f>IF(COUNT(F42:K42)=0,"",TEXT(IF(K42&lt;&gt;"",K42,IF(I42&lt;&gt;"",I42,IF(J42&lt;&gt;"",J42,IF(H42&lt;&gt;"",H42,IF(G42&lt;&gt;"",G42,F42))))),"[$-en-US]mmm"))</f>
        <v/>
      </c>
    </row>
    <row r="43">
      <c r="A43" s="14" t="n">
        <v>1</v>
      </c>
      <c r="B43" s="14" t="n">
        <v>8</v>
      </c>
      <c r="C43" t="inlineStr">
        <is>
          <t>تشريع توضيحي 042</t>
        </is>
      </c>
      <c r="D43" s="14" t="inlineStr">
        <is>
          <t>الاقتصاد والتنمية الاجتماعية</t>
        </is>
      </c>
      <c r="E43" s="14" t="inlineStr">
        <is>
          <t>السياسات والاستراتيجيات الاقتصادية</t>
        </is>
      </c>
      <c r="F43" s="268" t="n">
        <v>46027</v>
      </c>
      <c r="G43" s="268" t="n">
        <v>46027</v>
      </c>
      <c r="H43" s="268" t="n">
        <v>46041</v>
      </c>
      <c r="I43" s="268" t="n"/>
      <c r="J43" s="268" t="n"/>
      <c r="K43" s="268" t="n">
        <v>46041</v>
      </c>
      <c r="L43" s="268" t="n">
        <v>46042</v>
      </c>
      <c r="M43" s="268" t="inlineStr">
        <is>
          <t>في الموعد</t>
        </is>
      </c>
      <c r="N43" s="268" t="n"/>
      <c r="O43" s="7" t="inlineStr">
        <is>
          <t>مغلق</t>
        </is>
      </c>
      <c r="P43" s="7" t="inlineStr">
        <is>
          <t>محلي</t>
        </is>
      </c>
      <c r="Q43" s="14" t="inlineStr">
        <is>
          <t>اللجنة العليا للتشريعات في إمارة دبي</t>
        </is>
      </c>
      <c r="R43" s="14" t="n"/>
      <c r="S43" s="14" t="n"/>
      <c r="T43" s="14" t="n">
        <v>2026</v>
      </c>
      <c r="U43" s="14">
        <f>IF(
K43&lt;&gt;"",
"",
IF(
IF(I43&lt;&gt;"",I43,H43)="",
"",
IF(
ValidationDate&gt;IF(I43&lt;&gt;"",I43,H43),
"متأخر",
""
)
)
)</f>
        <v/>
      </c>
      <c r="V43" s="14">
        <f>IF(
OR(
M43&lt;&gt;"في الموعد",
NOT(ISNUMBER(K43)),
NOT(ISNUMBER(H43))
),
"",
IF(
INT(K43)&gt;INT(H43),
"متأخر",
""
)
)</f>
        <v/>
      </c>
      <c r="W43" s="14">
        <f>IF(COUNT(F43:K43)=0,"",TEXT(IF(K43&lt;&gt;"",K43,IF(I43&lt;&gt;"",I43,IF(J43&lt;&gt;"",J43,IF(H43&lt;&gt;"",H43,IF(G43&lt;&gt;"",G43,F43))))),"[$-en-US]mmm"))</f>
        <v/>
      </c>
    </row>
    <row r="44">
      <c r="A44" s="14" t="n">
        <v>2</v>
      </c>
      <c r="B44" s="14" t="n">
        <v>11</v>
      </c>
      <c r="C44" t="inlineStr">
        <is>
          <t>تشريع توضيحي 043</t>
        </is>
      </c>
      <c r="D44" s="14" t="inlineStr">
        <is>
          <t>الاقتصاد والتنمية الاجتماعية</t>
        </is>
      </c>
      <c r="E44" s="14" t="inlineStr">
        <is>
          <t>السياسات والاستراتيجيات الاقتصادية</t>
        </is>
      </c>
      <c r="F44" s="268" t="n">
        <v>46028</v>
      </c>
      <c r="G44" s="268" t="n">
        <v>46028</v>
      </c>
      <c r="H44" s="268" t="n">
        <v>46045</v>
      </c>
      <c r="I44" s="268" t="n"/>
      <c r="J44" s="268" t="n"/>
      <c r="K44" s="268" t="n">
        <v>46041</v>
      </c>
      <c r="L44" s="268" t="n">
        <v>46042</v>
      </c>
      <c r="M44" s="268" t="inlineStr">
        <is>
          <t>في الموعد</t>
        </is>
      </c>
      <c r="N44" s="268" t="n"/>
      <c r="O44" s="7" t="inlineStr">
        <is>
          <t>مغلق</t>
        </is>
      </c>
      <c r="P44" s="7" t="inlineStr">
        <is>
          <t>اتحادي</t>
        </is>
      </c>
      <c r="Q44" s="14" t="inlineStr">
        <is>
          <t>اللجنة العليا للتشريعات في إمارة دبي</t>
        </is>
      </c>
      <c r="R44" s="14" t="n"/>
      <c r="S44" s="14" t="n"/>
      <c r="T44" s="14" t="n">
        <v>2026</v>
      </c>
      <c r="U44" s="14">
        <f>IF(
K44&lt;&gt;"",
"",
IF(
IF(I44&lt;&gt;"",I44,H44)="",
"",
IF(
ValidationDate&gt;IF(I44&lt;&gt;"",I44,H44),
"متأخر",
""
)
)
)</f>
        <v/>
      </c>
      <c r="V44" s="14">
        <f>IF(
OR(
M44&lt;&gt;"في الموعد",
NOT(ISNUMBER(K44)),
NOT(ISNUMBER(H44))
),
"",
IF(
INT(K44)&gt;INT(H44),
"متأخر",
""
)
)</f>
        <v/>
      </c>
      <c r="W44" s="14">
        <f>IF(COUNT(F44:K44)=0,"",TEXT(IF(K44&lt;&gt;"",K44,IF(I44&lt;&gt;"",I44,IF(J44&lt;&gt;"",J44,IF(H44&lt;&gt;"",H44,IF(G44&lt;&gt;"",G44,F44))))),"[$-en-US]mmm"))</f>
        <v/>
      </c>
    </row>
    <row r="45">
      <c r="A45" s="14" t="n">
        <v>4</v>
      </c>
      <c r="B45" s="14" t="n">
        <v>82</v>
      </c>
      <c r="C45" t="inlineStr">
        <is>
          <t>تشريع توضيحي 044</t>
        </is>
      </c>
      <c r="D45" s="14" t="inlineStr">
        <is>
          <t>الاقتصاد والتنمية الاجتماعية</t>
        </is>
      </c>
      <c r="E45" s="14" t="inlineStr">
        <is>
          <t>السياسات والاستراتيجيات الاقتصادية</t>
        </is>
      </c>
      <c r="F45" s="268" t="n">
        <v>46038</v>
      </c>
      <c r="G45" s="268" t="n">
        <v>46038</v>
      </c>
      <c r="H45" s="268" t="n">
        <v>46062</v>
      </c>
      <c r="I45" s="268" t="n"/>
      <c r="J45" s="268" t="n">
        <v>46056</v>
      </c>
      <c r="K45" s="268" t="n">
        <v>46059</v>
      </c>
      <c r="L45" s="268" t="n">
        <v>46063</v>
      </c>
      <c r="M45" s="268" t="inlineStr">
        <is>
          <t>في الموعد</t>
        </is>
      </c>
      <c r="N45" s="268" t="n"/>
      <c r="O45" s="7" t="inlineStr">
        <is>
          <t>مغلق</t>
        </is>
      </c>
      <c r="P45" s="7" t="inlineStr">
        <is>
          <t>محلي</t>
        </is>
      </c>
      <c r="Q45" s="14" t="inlineStr">
        <is>
          <t>دائرة الأراضي والأملاك</t>
        </is>
      </c>
      <c r="R45" s="14" t="n"/>
      <c r="S45" s="14" t="n"/>
      <c r="T45" s="14" t="n">
        <v>2026</v>
      </c>
      <c r="U45" s="14">
        <f>IF(
K45&lt;&gt;"",
"",
IF(
IF(I45&lt;&gt;"",I45,H45)="",
"",
IF(
ValidationDate&gt;IF(I45&lt;&gt;"",I45,H45),
"متأخر",
""
)
)
)</f>
        <v/>
      </c>
      <c r="V45" s="14">
        <f>IF(
OR(
M45&lt;&gt;"في الموعد",
NOT(ISNUMBER(K45)),
NOT(ISNUMBER(H45))
),
"",
IF(
INT(K45)&gt;INT(H45),
"متأخر",
""
)
)</f>
        <v/>
      </c>
      <c r="W45" s="14">
        <f>IF(COUNT(F45:K45)=0,"",TEXT(IF(K45&lt;&gt;"",K45,IF(I45&lt;&gt;"",I45,IF(J45&lt;&gt;"",J45,IF(H45&lt;&gt;"",H45,IF(G45&lt;&gt;"",G45,F45))))),"[$-en-US]mmm"))</f>
        <v/>
      </c>
    </row>
    <row r="46">
      <c r="A46" s="14" t="n">
        <v>22</v>
      </c>
      <c r="B46" s="14" t="n">
        <v>233</v>
      </c>
      <c r="C46" t="inlineStr">
        <is>
          <t>تشريع توضيحي 045</t>
        </is>
      </c>
      <c r="D46" s="14" t="inlineStr">
        <is>
          <t>الاقتصاد والتنمية الاجتماعية</t>
        </is>
      </c>
      <c r="E46" s="14" t="inlineStr">
        <is>
          <t>السياسات والاستراتيجيات الاقتصادية</t>
        </is>
      </c>
      <c r="F46" s="268" t="n">
        <v>46066</v>
      </c>
      <c r="G46" s="268" t="n">
        <v>46066</v>
      </c>
      <c r="H46" s="268" t="n">
        <v>46080</v>
      </c>
      <c r="I46" s="268" t="n"/>
      <c r="J46" s="268" t="n">
        <v>46077</v>
      </c>
      <c r="K46" s="268" t="n">
        <v>46080</v>
      </c>
      <c r="L46" s="268" t="n">
        <v>46083</v>
      </c>
      <c r="M46" s="268" t="inlineStr">
        <is>
          <t>في الموعد</t>
        </is>
      </c>
      <c r="N46" s="268" t="n"/>
      <c r="O46" s="7" t="inlineStr">
        <is>
          <t>مغلق</t>
        </is>
      </c>
      <c r="P46" s="7" t="inlineStr">
        <is>
          <t>محلي</t>
        </is>
      </c>
      <c r="Q46" s="14" t="inlineStr">
        <is>
          <t>اللجنة العليا للتشريعات في إمارة دبي</t>
        </is>
      </c>
      <c r="R46" s="14" t="n"/>
      <c r="S46" s="14" t="n"/>
      <c r="T46" s="14" t="n">
        <v>2026</v>
      </c>
      <c r="U46" s="14">
        <f>IF(
K46&lt;&gt;"",
"",
IF(
IF(I46&lt;&gt;"",I46,H46)="",
"",
IF(
ValidationDate&gt;IF(I46&lt;&gt;"",I46,H46),
"متأخر",
""
)
)
)</f>
        <v/>
      </c>
      <c r="V46" s="14">
        <f>IF(
OR(
M46&lt;&gt;"في الموعد",
NOT(ISNUMBER(K46)),
NOT(ISNUMBER(H46))
),
"",
IF(
INT(K46)&gt;INT(H46),
"متأخر",
""
)
)</f>
        <v/>
      </c>
      <c r="W46" s="14">
        <f>IF(COUNT(F46:K46)=0,"",TEXT(IF(K46&lt;&gt;"",K46,IF(I46&lt;&gt;"",I46,IF(J46&lt;&gt;"",J46,IF(H46&lt;&gt;"",H46,IF(G46&lt;&gt;"",G46,F46))))),"[$-en-US]mmm"))</f>
        <v/>
      </c>
    </row>
    <row r="47">
      <c r="A47" s="14" t="n">
        <v>23</v>
      </c>
      <c r="B47" s="14" t="n">
        <v>237</v>
      </c>
      <c r="C47" t="inlineStr">
        <is>
          <t>تشريع توضيحي 046</t>
        </is>
      </c>
      <c r="D47" s="14" t="inlineStr">
        <is>
          <t>الاقتصاد والتنمية الاجتماعية</t>
        </is>
      </c>
      <c r="E47" s="14" t="inlineStr">
        <is>
          <t>السياسات والاستراتيجيات الاقتصادية</t>
        </is>
      </c>
      <c r="F47" s="268" t="n">
        <v>46066</v>
      </c>
      <c r="G47" s="268" t="n">
        <v>46066</v>
      </c>
      <c r="H47" s="268" t="n">
        <v>46073</v>
      </c>
      <c r="I47" s="268" t="n"/>
      <c r="J47" s="268" t="n">
        <v>46072</v>
      </c>
      <c r="K47" s="268" t="n">
        <v>46072</v>
      </c>
      <c r="L47" s="268" t="n">
        <v>46077</v>
      </c>
      <c r="M47" s="268" t="inlineStr">
        <is>
          <t>في الموعد</t>
        </is>
      </c>
      <c r="N47" s="268" t="n"/>
      <c r="O47" s="7" t="inlineStr">
        <is>
          <t>مغلق</t>
        </is>
      </c>
      <c r="P47" s="7" t="inlineStr">
        <is>
          <t>محلي</t>
        </is>
      </c>
      <c r="Q47" s="14" t="inlineStr">
        <is>
          <t>اللجنة العليا للتشريعات في إمارة دبي</t>
        </is>
      </c>
      <c r="R47" s="14" t="n"/>
      <c r="S47" s="14" t="n"/>
      <c r="T47" s="14" t="n">
        <v>2026</v>
      </c>
      <c r="U47" s="14">
        <f>IF(
K47&lt;&gt;"",
"",
IF(
IF(I47&lt;&gt;"",I47,H47)="",
"",
IF(
ValidationDate&gt;IF(I47&lt;&gt;"",I47,H47),
"متأخر",
""
)
)
)</f>
        <v/>
      </c>
      <c r="V47" s="14">
        <f>IF(
OR(
M47&lt;&gt;"في الموعد",
NOT(ISNUMBER(K47)),
NOT(ISNUMBER(H47))
),
"",
IF(
INT(K47)&gt;INT(H47),
"متأخر",
""
)
)</f>
        <v/>
      </c>
      <c r="W47" s="14">
        <f>IF(COUNT(F47:K47)=0,"",TEXT(IF(K47&lt;&gt;"",K47,IF(I47&lt;&gt;"",I47,IF(J47&lt;&gt;"",J47,IF(H47&lt;&gt;"",H47,IF(G47&lt;&gt;"",G47,F47))))),"[$-en-US]mmm"))</f>
        <v/>
      </c>
    </row>
    <row r="48">
      <c r="A48" s="14" t="n">
        <v>25</v>
      </c>
      <c r="B48" s="14" t="n">
        <v>266</v>
      </c>
      <c r="C48" t="inlineStr">
        <is>
          <t>تشريع توضيحي 047</t>
        </is>
      </c>
      <c r="D48" s="14" t="inlineStr">
        <is>
          <t>الاقتصاد والتنمية الاجتماعية</t>
        </is>
      </c>
      <c r="E48" s="14" t="inlineStr">
        <is>
          <t>السياسات والاستراتيجيات الاقتصادية</t>
        </is>
      </c>
      <c r="F48" s="268" t="n">
        <v>46071</v>
      </c>
      <c r="G48" s="268" t="n">
        <v>46071</v>
      </c>
      <c r="H48" s="268" t="n">
        <v>46087</v>
      </c>
      <c r="I48" s="268" t="n"/>
      <c r="J48" s="268" t="n">
        <v>46084</v>
      </c>
      <c r="K48" s="268" t="n">
        <v>46085</v>
      </c>
      <c r="L48" s="268" t="n">
        <v>46085</v>
      </c>
      <c r="M48" s="268" t="inlineStr">
        <is>
          <t>في الموعد</t>
        </is>
      </c>
      <c r="N48" s="268" t="n"/>
      <c r="O48" s="7" t="inlineStr">
        <is>
          <t>مغلق</t>
        </is>
      </c>
      <c r="P48" s="7" t="inlineStr">
        <is>
          <t>اتحادي</t>
        </is>
      </c>
      <c r="Q48" s="14" t="inlineStr">
        <is>
          <t>اللجنة العليا للتشريعات في إمارة دبي</t>
        </is>
      </c>
      <c r="R48" s="14" t="n"/>
      <c r="S48" s="14" t="n"/>
      <c r="T48" s="14" t="n">
        <v>2026</v>
      </c>
      <c r="U48" s="14">
        <f>IF(
K48&lt;&gt;"",
"",
IF(
IF(I48&lt;&gt;"",I48,H48)="",
"",
IF(
ValidationDate&gt;IF(I48&lt;&gt;"",I48,H48),
"متأخر",
""
)
)
)</f>
        <v/>
      </c>
      <c r="V48" s="14">
        <f>IF(
OR(
M48&lt;&gt;"في الموعد",
NOT(ISNUMBER(K48)),
NOT(ISNUMBER(H48))
),
"",
IF(
INT(K48)&gt;INT(H48),
"متأخر",
""
)
)</f>
        <v/>
      </c>
      <c r="W48" s="14">
        <f>IF(COUNT(F48:K48)=0,"",TEXT(IF(K48&lt;&gt;"",K48,IF(I48&lt;&gt;"",I48,IF(J48&lt;&gt;"",J48,IF(H48&lt;&gt;"",H48,IF(G48&lt;&gt;"",G48,F48))))),"[$-en-US]mmm"))</f>
        <v/>
      </c>
    </row>
    <row r="49">
      <c r="A49" s="14" t="n">
        <v>29</v>
      </c>
      <c r="B49" s="14" t="n">
        <v>286</v>
      </c>
      <c r="C49" t="inlineStr">
        <is>
          <t>تشريع توضيحي 048</t>
        </is>
      </c>
      <c r="D49" s="14" t="inlineStr">
        <is>
          <t>الاقتصاد والتنمية الاجتماعية</t>
        </is>
      </c>
      <c r="E49" s="14" t="inlineStr">
        <is>
          <t>السياسات والاستراتيجيات الاقتصادية</t>
        </is>
      </c>
      <c r="F49" s="268" t="n">
        <v>46073</v>
      </c>
      <c r="G49" s="268" t="n">
        <v>46073</v>
      </c>
      <c r="H49" s="268" t="n">
        <v>46087</v>
      </c>
      <c r="I49" s="268" t="n"/>
      <c r="J49" s="268" t="n">
        <v>46084</v>
      </c>
      <c r="K49" s="268" t="n">
        <v>46087</v>
      </c>
      <c r="L49" s="268" t="n">
        <v>46090</v>
      </c>
      <c r="M49" s="268" t="inlineStr">
        <is>
          <t>في الموعد</t>
        </is>
      </c>
      <c r="N49" s="268" t="n"/>
      <c r="O49" s="7" t="inlineStr">
        <is>
          <t>مغلق</t>
        </is>
      </c>
      <c r="P49" s="7" t="inlineStr">
        <is>
          <t>اتحادي</t>
        </is>
      </c>
      <c r="Q49" s="14" t="inlineStr">
        <is>
          <t>اللجنة العليا للتشريعات في إمارة دبي</t>
        </is>
      </c>
      <c r="R49" s="14" t="n"/>
      <c r="S49" s="14" t="n"/>
      <c r="T49" s="14" t="n">
        <v>2026</v>
      </c>
      <c r="U49" s="14">
        <f>IF(
K49&lt;&gt;"",
"",
IF(
IF(I49&lt;&gt;"",I49,H49)="",
"",
IF(
ValidationDate&gt;IF(I49&lt;&gt;"",I49,H49),
"متأخر",
""
)
)
)</f>
        <v/>
      </c>
      <c r="V49" s="14">
        <f>IF(
OR(
M49&lt;&gt;"في الموعد",
NOT(ISNUMBER(K49)),
NOT(ISNUMBER(H49))
),
"",
IF(
INT(K49)&gt;INT(H49),
"متأخر",
""
)
)</f>
        <v/>
      </c>
      <c r="W49" s="14">
        <f>IF(COUNT(F49:K49)=0,"",TEXT(IF(K49&lt;&gt;"",K49,IF(I49&lt;&gt;"",I49,IF(J49&lt;&gt;"",J49,IF(H49&lt;&gt;"",H49,IF(G49&lt;&gt;"",G49,F49))))),"[$-en-US]mmm"))</f>
        <v/>
      </c>
    </row>
    <row r="50">
      <c r="A50" s="14" t="n">
        <v>34</v>
      </c>
      <c r="B50" s="14" t="n">
        <v>305</v>
      </c>
      <c r="C50" t="inlineStr">
        <is>
          <t>تشريع توضيحي 049</t>
        </is>
      </c>
      <c r="D50" s="14" t="inlineStr">
        <is>
          <t>الاقتصاد والتنمية الاجتماعية</t>
        </is>
      </c>
      <c r="E50" s="14" t="inlineStr">
        <is>
          <t>السياسات والاستراتيجيات الاقتصادية</t>
        </is>
      </c>
      <c r="F50" s="268" t="n">
        <v>46078</v>
      </c>
      <c r="G50" s="268" t="n">
        <v>46078</v>
      </c>
      <c r="H50" s="268" t="n">
        <v>46094</v>
      </c>
      <c r="I50" s="268" t="n"/>
      <c r="J50" s="268" t="n">
        <v>46091</v>
      </c>
      <c r="K50" s="268" t="n">
        <v>46090</v>
      </c>
      <c r="L50" s="268" t="n">
        <v>46093</v>
      </c>
      <c r="M50" s="268" t="inlineStr">
        <is>
          <t>في الموعد</t>
        </is>
      </c>
      <c r="N50" s="268" t="n"/>
      <c r="O50" s="7" t="inlineStr">
        <is>
          <t>مغلق</t>
        </is>
      </c>
      <c r="P50" s="7" t="inlineStr">
        <is>
          <t>محلي</t>
        </is>
      </c>
      <c r="Q50" s="14" t="inlineStr">
        <is>
          <t>اللجنة العليا للتشريعات في إمارة دبي</t>
        </is>
      </c>
      <c r="R50" s="14" t="n"/>
      <c r="S50" s="14" t="n"/>
      <c r="T50" s="14" t="n">
        <v>2026</v>
      </c>
      <c r="U50" s="14">
        <f>IF(
K50&lt;&gt;"",
"",
IF(
IF(I50&lt;&gt;"",I50,H50)="",
"",
IF(
ValidationDate&gt;IF(I50&lt;&gt;"",I50,H50),
"متأخر",
""
)
)
)</f>
        <v/>
      </c>
      <c r="V50" s="14">
        <f>IF(
OR(
M50&lt;&gt;"في الموعد",
NOT(ISNUMBER(K50)),
NOT(ISNUMBER(H50))
),
"",
IF(
INT(K50)&gt;INT(H50),
"متأخر",
""
)
)</f>
        <v/>
      </c>
      <c r="W50" s="14">
        <f>IF(COUNT(F50:K50)=0,"",TEXT(IF(K50&lt;&gt;"",K50,IF(I50&lt;&gt;"",I50,IF(J50&lt;&gt;"",J50,IF(H50&lt;&gt;"",H50,IF(G50&lt;&gt;"",G50,F50))))),"[$-en-US]mmm"))</f>
        <v/>
      </c>
    </row>
    <row r="51">
      <c r="A51" s="14" t="n">
        <v>36</v>
      </c>
      <c r="B51" s="14" t="n">
        <v>311</v>
      </c>
      <c r="C51" t="inlineStr">
        <is>
          <t>تشريع توضيحي 050</t>
        </is>
      </c>
      <c r="D51" s="14" t="inlineStr">
        <is>
          <t>الاقتصاد والتنمية الاجتماعية</t>
        </is>
      </c>
      <c r="E51" s="14" t="inlineStr">
        <is>
          <t>السياسات والاستراتيجيات الاقتصادية</t>
        </is>
      </c>
      <c r="F51" s="268" t="n">
        <v>46078</v>
      </c>
      <c r="G51" s="268" t="n">
        <v>46079</v>
      </c>
      <c r="H51" s="268" t="n">
        <v>46094</v>
      </c>
      <c r="I51" s="268" t="n"/>
      <c r="J51" s="268" t="n">
        <v>46091</v>
      </c>
      <c r="K51" s="268" t="n">
        <v>46091</v>
      </c>
      <c r="L51" s="268" t="n">
        <v>46093</v>
      </c>
      <c r="M51" s="268" t="inlineStr">
        <is>
          <t>في الموعد</t>
        </is>
      </c>
      <c r="N51" s="268" t="n"/>
      <c r="O51" s="7" t="inlineStr">
        <is>
          <t>مغلق</t>
        </is>
      </c>
      <c r="P51" s="7" t="inlineStr">
        <is>
          <t>اتحادي</t>
        </is>
      </c>
      <c r="Q51" s="14" t="inlineStr">
        <is>
          <t>اللجنة العليا للتشريعات في إمارة دبي</t>
        </is>
      </c>
      <c r="R51" s="14" t="n"/>
      <c r="S51" s="14" t="n"/>
      <c r="T51" s="14" t="n">
        <v>2026</v>
      </c>
      <c r="U51" s="14">
        <f>IF(
K51&lt;&gt;"",
"",
IF(
IF(I51&lt;&gt;"",I51,H51)="",
"",
IF(
ValidationDate&gt;IF(I51&lt;&gt;"",I51,H51),
"متأخر",
""
)
)
)</f>
        <v/>
      </c>
      <c r="V51" s="14">
        <f>IF(
OR(
M51&lt;&gt;"في الموعد",
NOT(ISNUMBER(K51)),
NOT(ISNUMBER(H51))
),
"",
IF(
INT(K51)&gt;INT(H51),
"متأخر",
""
)
)</f>
        <v/>
      </c>
      <c r="W51" s="14">
        <f>IF(COUNT(F51:K51)=0,"",TEXT(IF(K51&lt;&gt;"",K51,IF(I51&lt;&gt;"",I51,IF(J51&lt;&gt;"",J51,IF(H51&lt;&gt;"",H51,IF(G51&lt;&gt;"",G51,F51))))),"[$-en-US]mmm"))</f>
        <v/>
      </c>
    </row>
    <row r="52">
      <c r="A52" s="14" t="n">
        <v>37</v>
      </c>
      <c r="B52" s="14" t="n">
        <v>323</v>
      </c>
      <c r="C52" t="inlineStr">
        <is>
          <t>تشريع توضيحي 051</t>
        </is>
      </c>
      <c r="D52" s="14" t="inlineStr">
        <is>
          <t>الاقتصاد والتنمية الاجتماعية</t>
        </is>
      </c>
      <c r="E52" s="14" t="inlineStr">
        <is>
          <t>السياسات والاستراتيجيات الاقتصادية</t>
        </is>
      </c>
      <c r="F52" s="268" t="n">
        <v>46079</v>
      </c>
      <c r="G52" s="268" t="n">
        <v>46079</v>
      </c>
      <c r="H52" s="268" t="n">
        <v>46090</v>
      </c>
      <c r="I52" s="268" t="n">
        <v>46108</v>
      </c>
      <c r="J52" s="268" t="n">
        <v>46105</v>
      </c>
      <c r="K52" s="268" t="n">
        <v>46104</v>
      </c>
      <c r="L52" s="268" t="n">
        <v>46106</v>
      </c>
      <c r="M52" s="268" t="inlineStr">
        <is>
          <t>في الموعد</t>
        </is>
      </c>
      <c r="N52" s="268" t="n"/>
      <c r="O52" s="7" t="inlineStr">
        <is>
          <t>معلق</t>
        </is>
      </c>
      <c r="P52" s="7" t="inlineStr">
        <is>
          <t>اتحادي</t>
        </is>
      </c>
      <c r="Q52" s="14" t="inlineStr">
        <is>
          <t>اللجنة العليا للتشريعات في إمارة دبي</t>
        </is>
      </c>
      <c r="R52" s="14" t="n"/>
      <c r="S52" s="14" t="n"/>
      <c r="T52" s="14" t="n">
        <v>2026</v>
      </c>
      <c r="U52" s="14">
        <f>IF(
K52&lt;&gt;"",
"",
IF(
IF(I52&lt;&gt;"",I52,H52)="",
"",
IF(
ValidationDate&gt;IF(I52&lt;&gt;"",I52,H52),
"متأخر",
""
)
)
)</f>
        <v/>
      </c>
      <c r="V52" s="14">
        <f>IF(
OR(
M52&lt;&gt;"في الموعد",
NOT(ISNUMBER(K52)),
NOT(ISNUMBER(H52))
),
"",
IF(
INT(K52)&gt;INT(H52),
"متأخر",
""
)
)</f>
        <v/>
      </c>
      <c r="W52" s="14">
        <f>IF(COUNT(F52:K52)=0,"",TEXT(IF(K52&lt;&gt;"",K52,IF(I52&lt;&gt;"",I52,IF(J52&lt;&gt;"",J52,IF(H52&lt;&gt;"",H52,IF(G52&lt;&gt;"",G52,F52))))),"[$-en-US]mmm"))</f>
        <v/>
      </c>
    </row>
    <row r="53">
      <c r="A53" s="14" t="n">
        <v>40</v>
      </c>
      <c r="B53" s="14" t="n">
        <v>374</v>
      </c>
      <c r="C53" t="inlineStr">
        <is>
          <t>تشريع توضيحي 052</t>
        </is>
      </c>
      <c r="D53" s="14" t="inlineStr">
        <is>
          <t>الاقتصاد والتنمية الاجتماعية</t>
        </is>
      </c>
      <c r="E53" s="14" t="inlineStr">
        <is>
          <t>السياسات والاستراتيجيات الاقتصادية</t>
        </is>
      </c>
      <c r="F53" s="268" t="n">
        <v>46090</v>
      </c>
      <c r="G53" s="268" t="n">
        <v>46090</v>
      </c>
      <c r="H53" s="268" t="n">
        <v>46108</v>
      </c>
      <c r="I53" s="268" t="n">
        <v>46115</v>
      </c>
      <c r="J53" s="268" t="n">
        <v>46105</v>
      </c>
      <c r="K53" s="268" t="n">
        <v>46115</v>
      </c>
      <c r="L53" s="268" t="n">
        <v>46118</v>
      </c>
      <c r="M53" s="268" t="inlineStr">
        <is>
          <t>في الموعد</t>
        </is>
      </c>
      <c r="N53" s="268" t="n"/>
      <c r="O53" s="7" t="inlineStr">
        <is>
          <t>مغلق</t>
        </is>
      </c>
      <c r="P53" s="7" t="inlineStr">
        <is>
          <t>محلي</t>
        </is>
      </c>
      <c r="Q53" s="14" t="inlineStr">
        <is>
          <t>اللجنة العليا للتشريعات في إمارة دبي</t>
        </is>
      </c>
      <c r="R53" s="14" t="n"/>
      <c r="S53" s="14" t="n"/>
      <c r="T53" s="14" t="n">
        <v>2026</v>
      </c>
      <c r="U53" s="14">
        <f>IF(
K53&lt;&gt;"",
"",
IF(
IF(I53&lt;&gt;"",I53,H53)="",
"",
IF(
ValidationDate&gt;IF(I53&lt;&gt;"",I53,H53),
"متأخر",
""
)
)
)</f>
        <v/>
      </c>
      <c r="V53" s="14">
        <f>IF(
OR(
M53&lt;&gt;"في الموعد",
NOT(ISNUMBER(K53)),
NOT(ISNUMBER(H53))
),
"",
IF(
INT(K53)&gt;INT(H53),
"متأخر",
""
)
)</f>
        <v/>
      </c>
      <c r="W53" s="14">
        <f>IF(COUNT(F53:K53)=0,"",TEXT(IF(K53&lt;&gt;"",K53,IF(I53&lt;&gt;"",I53,IF(J53&lt;&gt;"",J53,IF(H53&lt;&gt;"",H53,IF(G53&lt;&gt;"",G53,F53))))),"[$-en-US]mmm"))</f>
        <v/>
      </c>
    </row>
    <row r="54">
      <c r="A54" s="14" t="n">
        <v>41</v>
      </c>
      <c r="B54" s="14" t="n">
        <v>388</v>
      </c>
      <c r="C54" t="inlineStr">
        <is>
          <t>تشريع توضيحي 053</t>
        </is>
      </c>
      <c r="D54" s="14" t="inlineStr">
        <is>
          <t>الاقتصاد والتنمية الاجتماعية</t>
        </is>
      </c>
      <c r="E54" s="14" t="inlineStr">
        <is>
          <t>السياسات والاستراتيجيات الاقتصادية</t>
        </is>
      </c>
      <c r="F54" s="268" t="n">
        <v>46091</v>
      </c>
      <c r="G54" s="268" t="n">
        <v>46091</v>
      </c>
      <c r="H54" s="268" t="n">
        <v>46115</v>
      </c>
      <c r="I54" s="268" t="n">
        <v>46120</v>
      </c>
      <c r="J54" s="268" t="n">
        <v>46112</v>
      </c>
      <c r="K54" s="268" t="n">
        <v>46119</v>
      </c>
      <c r="L54" s="268" t="n">
        <v>46120</v>
      </c>
      <c r="M54" s="268" t="inlineStr">
        <is>
          <t>في الموعد</t>
        </is>
      </c>
      <c r="N54" s="268" t="n"/>
      <c r="O54" s="7" t="inlineStr">
        <is>
          <t>مغلق</t>
        </is>
      </c>
      <c r="P54" s="7" t="inlineStr">
        <is>
          <t>اتحادي</t>
        </is>
      </c>
      <c r="Q54" s="14" t="inlineStr">
        <is>
          <t>اللجنة العليا للتشريعات في إمارة دبي</t>
        </is>
      </c>
      <c r="R54" s="14" t="n"/>
      <c r="S54" s="14" t="n"/>
      <c r="T54" s="14" t="n">
        <v>2026</v>
      </c>
      <c r="U54" s="14">
        <f>IF(
K54&lt;&gt;"",
"",
IF(
IF(I54&lt;&gt;"",I54,H54)="",
"",
IF(
ValidationDate&gt;IF(I54&lt;&gt;"",I54,H54),
"متأخر",
""
)
)
)</f>
        <v/>
      </c>
      <c r="V54" s="14">
        <f>IF(
OR(
M54&lt;&gt;"في الموعد",
NOT(ISNUMBER(K54)),
NOT(ISNUMBER(H54))
),
"",
IF(
INT(K54)&gt;INT(H54),
"متأخر",
""
)
)</f>
        <v/>
      </c>
      <c r="W54" s="14">
        <f>IF(COUNT(F54:K54)=0,"",TEXT(IF(K54&lt;&gt;"",K54,IF(I54&lt;&gt;"",I54,IF(J54&lt;&gt;"",J54,IF(H54&lt;&gt;"",H54,IF(G54&lt;&gt;"",G54,F54))))),"[$-en-US]mmm"))</f>
        <v/>
      </c>
    </row>
    <row r="55">
      <c r="A55" s="14" t="n">
        <v>54</v>
      </c>
      <c r="B55" s="14" t="n">
        <v>530</v>
      </c>
      <c r="C55" t="inlineStr">
        <is>
          <t>تشريع توضيحي 054</t>
        </is>
      </c>
      <c r="D55" s="14" t="inlineStr">
        <is>
          <t>الاقتصاد والتنمية الاجتماعية</t>
        </is>
      </c>
      <c r="E55" s="14" t="inlineStr">
        <is>
          <t>السياسات والاستراتيجيات الاقتصادية</t>
        </is>
      </c>
      <c r="F55" s="268" t="n">
        <v>46121</v>
      </c>
      <c r="G55" s="268" t="n">
        <v>46121</v>
      </c>
      <c r="H55" s="268" t="n">
        <v>46127</v>
      </c>
      <c r="I55" s="268" t="n"/>
      <c r="J55" s="268" t="n">
        <v>46127</v>
      </c>
      <c r="K55" s="268" t="n">
        <v>46126</v>
      </c>
      <c r="L55" s="268" t="n">
        <v>46126</v>
      </c>
      <c r="M55" s="268" t="inlineStr">
        <is>
          <t>في الموعد</t>
        </is>
      </c>
      <c r="N55" s="268" t="n"/>
      <c r="O55" s="7" t="inlineStr">
        <is>
          <t>مغلق</t>
        </is>
      </c>
      <c r="P55" s="7" t="inlineStr">
        <is>
          <t>اتحادي</t>
        </is>
      </c>
      <c r="Q55" s="14" t="inlineStr">
        <is>
          <t>اللجنة العليا للتشريعات في إمارة دبي</t>
        </is>
      </c>
      <c r="R55" s="14" t="n"/>
      <c r="S55" s="14" t="n"/>
      <c r="T55" s="14" t="n">
        <v>2026</v>
      </c>
      <c r="U55" s="14">
        <f>IF(
K55&lt;&gt;"",
"",
IF(
IF(I55&lt;&gt;"",I55,H55)="",
"",
IF(
ValidationDate&gt;IF(I55&lt;&gt;"",I55,H55),
"متأخر",
""
)
)
)</f>
        <v/>
      </c>
      <c r="V55" s="14">
        <f>IF(
OR(
M55&lt;&gt;"في الموعد",
NOT(ISNUMBER(K55)),
NOT(ISNUMBER(H55))
),
"",
IF(
INT(K55)&gt;INT(H55),
"متأخر",
""
)
)</f>
        <v/>
      </c>
      <c r="W55" s="14">
        <f>IF(COUNT(F55:K55)=0,"",TEXT(IF(K55&lt;&gt;"",K55,IF(I55&lt;&gt;"",I55,IF(J55&lt;&gt;"",J55,IF(H55&lt;&gt;"",H55,IF(G55&lt;&gt;"",G55,F55))))),"[$-en-US]mmm"))</f>
        <v/>
      </c>
    </row>
    <row r="56">
      <c r="A56" s="14" t="n">
        <v>60</v>
      </c>
      <c r="B56" s="14" t="n">
        <v>559</v>
      </c>
      <c r="C56" t="inlineStr">
        <is>
          <t>تشريع توضيحي 055</t>
        </is>
      </c>
      <c r="D56" s="14" t="inlineStr">
        <is>
          <t>الاقتصاد والتنمية الاجتماعية</t>
        </is>
      </c>
      <c r="E56" s="14" t="inlineStr">
        <is>
          <t>السياسات والاستراتيجيات الاقتصادية</t>
        </is>
      </c>
      <c r="F56" s="268" t="n">
        <v>46127</v>
      </c>
      <c r="G56" s="268" t="n">
        <v>46127</v>
      </c>
      <c r="H56" s="268" t="n">
        <v>46143</v>
      </c>
      <c r="I56" s="268" t="n"/>
      <c r="J56" s="268" t="n">
        <v>46140</v>
      </c>
      <c r="K56" s="268" t="n">
        <v>46136</v>
      </c>
      <c r="L56" s="268" t="n">
        <v>46146</v>
      </c>
      <c r="M56" s="268" t="inlineStr">
        <is>
          <t>في الموعد</t>
        </is>
      </c>
      <c r="N56" s="268" t="n"/>
      <c r="O56" s="7" t="inlineStr">
        <is>
          <t>مغلق</t>
        </is>
      </c>
      <c r="P56" s="7" t="inlineStr">
        <is>
          <t>محلي</t>
        </is>
      </c>
      <c r="Q56" s="14" t="inlineStr">
        <is>
          <t>اللجنة العليا للتشريعات في إمارة دبي</t>
        </is>
      </c>
      <c r="R56" s="14" t="n"/>
      <c r="S56" s="14" t="n"/>
      <c r="T56" s="14" t="n">
        <v>2026</v>
      </c>
      <c r="U56" s="14">
        <f>IF(
K56&lt;&gt;"",
"",
IF(
IF(I56&lt;&gt;"",I56,H56)="",
"",
IF(
ValidationDate&gt;IF(I56&lt;&gt;"",I56,H56),
"متأخر",
""
)
)
)</f>
        <v/>
      </c>
      <c r="V56" s="14">
        <f>IF(
OR(
M56&lt;&gt;"في الموعد",
NOT(ISNUMBER(K56)),
NOT(ISNUMBER(H56))
),
"",
IF(
INT(K56)&gt;INT(H56),
"متأخر",
""
)
)</f>
        <v/>
      </c>
      <c r="W56" s="14">
        <f>IF(COUNT(F56:K56)=0,"",TEXT(IF(K56&lt;&gt;"",K56,IF(I56&lt;&gt;"",I56,IF(J56&lt;&gt;"",J56,IF(H56&lt;&gt;"",H56,IF(G56&lt;&gt;"",G56,F56))))),"[$-en-US]mmm"))</f>
        <v/>
      </c>
    </row>
    <row r="57">
      <c r="A57" s="14" t="n">
        <v>64</v>
      </c>
      <c r="B57" s="14" t="n">
        <v>588</v>
      </c>
      <c r="C57" t="inlineStr">
        <is>
          <t>تشريع توضيحي 056</t>
        </is>
      </c>
      <c r="D57" s="14" t="inlineStr">
        <is>
          <t>الاقتصاد والتنمية الاجتماعية</t>
        </is>
      </c>
      <c r="E57" s="14" t="inlineStr">
        <is>
          <t>السياسات والاستراتيجيات الاقتصادية</t>
        </is>
      </c>
      <c r="F57" s="268" t="n">
        <v>46134</v>
      </c>
      <c r="G57" s="268" t="n">
        <v>46134</v>
      </c>
      <c r="H57" s="268" t="n">
        <v>46139</v>
      </c>
      <c r="I57" s="268" t="n"/>
      <c r="J57" s="268" t="n"/>
      <c r="K57" s="268" t="n">
        <v>46139</v>
      </c>
      <c r="L57" s="268" t="n">
        <v>46140</v>
      </c>
      <c r="M57" s="268" t="inlineStr">
        <is>
          <t>في الموعد</t>
        </is>
      </c>
      <c r="N57" s="268" t="n"/>
      <c r="O57" s="7" t="inlineStr">
        <is>
          <t>مغلق</t>
        </is>
      </c>
      <c r="P57" s="7" t="inlineStr">
        <is>
          <t>اتحادي</t>
        </is>
      </c>
      <c r="Q57" s="14" t="inlineStr">
        <is>
          <t>اللجنة العليا للتشريعات في إمارة دبي</t>
        </is>
      </c>
      <c r="R57" s="14" t="n"/>
      <c r="S57" s="14" t="n"/>
      <c r="T57" s="14" t="n">
        <v>2026</v>
      </c>
      <c r="U57" s="14">
        <f>IF(
K57&lt;&gt;"",
"",
IF(
IF(I57&lt;&gt;"",I57,H57)="",
"",
IF(
ValidationDate&gt;IF(I57&lt;&gt;"",I57,H57),
"متأخر",
""
)
)
)</f>
        <v/>
      </c>
      <c r="V57" s="14">
        <f>IF(
OR(
M57&lt;&gt;"في الموعد",
NOT(ISNUMBER(K57)),
NOT(ISNUMBER(H57))
),
"",
IF(
INT(K57)&gt;INT(H57),
"متأخر",
""
)
)</f>
        <v/>
      </c>
      <c r="W57" s="14">
        <f>IF(COUNT(F57:K57)=0,"",TEXT(IF(K57&lt;&gt;"",K57,IF(I57&lt;&gt;"",I57,IF(J57&lt;&gt;"",J57,IF(H57&lt;&gt;"",H57,IF(G57&lt;&gt;"",G57,F57))))),"[$-en-US]mmm"))</f>
        <v/>
      </c>
    </row>
    <row r="58">
      <c r="A58" s="14" t="n">
        <v>70</v>
      </c>
      <c r="B58" s="14" t="n">
        <v>642</v>
      </c>
      <c r="C58" t="inlineStr">
        <is>
          <t>تشريع توضيحي 057</t>
        </is>
      </c>
      <c r="D58" s="14" t="inlineStr">
        <is>
          <t>الاقتصاد والتنمية الاجتماعية</t>
        </is>
      </c>
      <c r="E58" s="14" t="inlineStr">
        <is>
          <t>السياسات والاستراتيجيات الاقتصادية</t>
        </is>
      </c>
      <c r="F58" s="268" t="n">
        <v>46141</v>
      </c>
      <c r="G58" s="268" t="n">
        <v>46141</v>
      </c>
      <c r="H58" s="268" t="n">
        <v>46150</v>
      </c>
      <c r="I58" s="268" t="n"/>
      <c r="J58" s="268" t="n">
        <v>46148</v>
      </c>
      <c r="K58" s="268" t="n">
        <v>46147</v>
      </c>
      <c r="L58" s="268" t="n">
        <v>46149</v>
      </c>
      <c r="M58" s="268" t="inlineStr">
        <is>
          <t>في الموعد</t>
        </is>
      </c>
      <c r="N58" s="268" t="n"/>
      <c r="O58" s="7" t="inlineStr">
        <is>
          <t>مغلق</t>
        </is>
      </c>
      <c r="P58" s="7" t="inlineStr">
        <is>
          <t>اتحادي</t>
        </is>
      </c>
      <c r="Q58" s="14" t="inlineStr">
        <is>
          <t>اللجنة العليا للتشريعات في إمارة دبي</t>
        </is>
      </c>
      <c r="R58" s="14" t="n"/>
      <c r="S58" s="14" t="n"/>
      <c r="T58" s="14" t="n">
        <v>2026</v>
      </c>
      <c r="U58" s="14">
        <f>IF(
K58&lt;&gt;"",
"",
IF(
IF(I58&lt;&gt;"",I58,H58)="",
"",
IF(
ValidationDate&gt;IF(I58&lt;&gt;"",I58,H58),
"متأخر",
""
)
)
)</f>
        <v/>
      </c>
      <c r="V58" s="14">
        <f>IF(
OR(
M58&lt;&gt;"في الموعد",
NOT(ISNUMBER(K58)),
NOT(ISNUMBER(H58))
),
"",
IF(
INT(K58)&gt;INT(H58),
"متأخر",
""
)
)</f>
        <v/>
      </c>
      <c r="W58" s="14">
        <f>IF(COUNT(F58:K58)=0,"",TEXT(IF(K58&lt;&gt;"",K58,IF(I58&lt;&gt;"",I58,IF(J58&lt;&gt;"",J58,IF(H58&lt;&gt;"",H58,IF(G58&lt;&gt;"",G58,F58))))),"[$-en-US]mmm"))</f>
        <v/>
      </c>
    </row>
    <row r="59">
      <c r="A59" s="14" t="n">
        <v>72</v>
      </c>
      <c r="B59" s="14" t="n">
        <v>644</v>
      </c>
      <c r="C59" t="inlineStr">
        <is>
          <t>تشريع توضيحي 058</t>
        </is>
      </c>
      <c r="D59" s="14" t="inlineStr">
        <is>
          <t>الاقتصاد والتنمية الاجتماعية</t>
        </is>
      </c>
      <c r="E59" s="14" t="inlineStr">
        <is>
          <t>السياسات والاستراتيجيات الاقتصادية</t>
        </is>
      </c>
      <c r="F59" s="268" t="n">
        <v>46141</v>
      </c>
      <c r="G59" s="268" t="n">
        <v>46141</v>
      </c>
      <c r="H59" s="268" t="n">
        <v>46150</v>
      </c>
      <c r="I59" s="268" t="n"/>
      <c r="J59" s="268" t="n">
        <v>46148</v>
      </c>
      <c r="K59" s="268" t="n">
        <v>46147</v>
      </c>
      <c r="L59" s="268" t="n">
        <v>46149</v>
      </c>
      <c r="M59" s="268" t="inlineStr">
        <is>
          <t>في الموعد</t>
        </is>
      </c>
      <c r="N59" s="268" t="n"/>
      <c r="O59" s="7" t="inlineStr">
        <is>
          <t>مغلق</t>
        </is>
      </c>
      <c r="P59" s="7" t="inlineStr">
        <is>
          <t>محلي</t>
        </is>
      </c>
      <c r="Q59" s="14" t="inlineStr">
        <is>
          <t>اللجنة العليا للتشريعات في إمارة دبي</t>
        </is>
      </c>
      <c r="R59" s="14" t="n"/>
      <c r="S59" s="14" t="n"/>
      <c r="T59" s="14" t="n">
        <v>2026</v>
      </c>
      <c r="U59" s="14">
        <f>IF(
K59&lt;&gt;"",
"",
IF(
IF(I59&lt;&gt;"",I59,H59)="",
"",
IF(
ValidationDate&gt;IF(I59&lt;&gt;"",I59,H59),
"متأخر",
""
)
)
)</f>
        <v/>
      </c>
      <c r="V59" s="14">
        <f>IF(
OR(
M59&lt;&gt;"في الموعد",
NOT(ISNUMBER(K59)),
NOT(ISNUMBER(H59))
),
"",
IF(
INT(K59)&gt;INT(H59),
"متأخر",
""
)
)</f>
        <v/>
      </c>
      <c r="W59" s="14">
        <f>IF(COUNT(F59:K59)=0,"",TEXT(IF(K59&lt;&gt;"",K59,IF(I59&lt;&gt;"",I59,IF(J59&lt;&gt;"",J59,IF(H59&lt;&gt;"",H59,IF(G59&lt;&gt;"",G59,F59))))),"[$-en-US]mmm"))</f>
        <v/>
      </c>
    </row>
    <row r="60">
      <c r="A60" s="14" t="n">
        <v>89</v>
      </c>
      <c r="B60" s="14" t="n">
        <v>720</v>
      </c>
      <c r="C60" t="inlineStr">
        <is>
          <t>تشريع توضيحي 059</t>
        </is>
      </c>
      <c r="D60" s="14" t="inlineStr">
        <is>
          <t>الاقتصاد والتنمية الاجتماعية</t>
        </is>
      </c>
      <c r="E60" s="14" t="inlineStr">
        <is>
          <t>السياسات والاستراتيجيات الاقتصادية</t>
        </is>
      </c>
      <c r="F60" s="268" t="n">
        <v>46154</v>
      </c>
      <c r="G60" s="268" t="n">
        <v>46154</v>
      </c>
      <c r="H60" s="268" t="n">
        <v>46178</v>
      </c>
      <c r="I60" s="268" t="n"/>
      <c r="J60" s="268" t="n">
        <v>46175</v>
      </c>
      <c r="K60" s="268" t="n">
        <v>46175</v>
      </c>
      <c r="L60" s="268" t="n">
        <v>46176</v>
      </c>
      <c r="M60" s="268" t="inlineStr">
        <is>
          <t>في الموعد</t>
        </is>
      </c>
      <c r="N60" s="268" t="n"/>
      <c r="O60" s="7" t="inlineStr">
        <is>
          <t>مغلق</t>
        </is>
      </c>
      <c r="P60" s="7" t="inlineStr">
        <is>
          <t>اتحادي</t>
        </is>
      </c>
      <c r="Q60" s="14" t="inlineStr">
        <is>
          <t>اللجنة العليا للتشريعات في إمارة دبي</t>
        </is>
      </c>
      <c r="R60" s="14" t="n"/>
      <c r="S60" s="14" t="n"/>
      <c r="T60" s="14" t="n">
        <v>2026</v>
      </c>
      <c r="U60" s="14">
        <f>IF(
K60&lt;&gt;"",
"",
IF(
IF(I60&lt;&gt;"",I60,H60)="",
"",
IF(
ValidationDate&gt;IF(I60&lt;&gt;"",I60,H60),
"متأخر",
""
)
)
)</f>
        <v/>
      </c>
      <c r="V60" s="14">
        <f>IF(
OR(
M60&lt;&gt;"في الموعد",
NOT(ISNUMBER(K60)),
NOT(ISNUMBER(H60))
),
"",
IF(
INT(K60)&gt;INT(H60),
"متأخر",
""
)
)</f>
        <v/>
      </c>
      <c r="W60" s="14">
        <f>IF(COUNT(F60:K60)=0,"",TEXT(IF(K60&lt;&gt;"",K60,IF(I60&lt;&gt;"",I60,IF(J60&lt;&gt;"",J60,IF(H60&lt;&gt;"",H60,IF(G60&lt;&gt;"",G60,F60))))),"[$-en-US]mmm"))</f>
        <v/>
      </c>
    </row>
    <row r="61">
      <c r="A61" s="14" t="n">
        <v>90</v>
      </c>
      <c r="B61" s="14" t="n">
        <v>721</v>
      </c>
      <c r="C61" t="inlineStr">
        <is>
          <t>تشريع توضيحي 060</t>
        </is>
      </c>
      <c r="D61" s="14" t="inlineStr">
        <is>
          <t>الاقتصاد والتنمية الاجتماعية</t>
        </is>
      </c>
      <c r="E61" s="14" t="inlineStr">
        <is>
          <t>السياسات والاستراتيجيات الاقتصادية</t>
        </is>
      </c>
      <c r="F61" s="268" t="n">
        <v>46154</v>
      </c>
      <c r="G61" s="268" t="n">
        <v>46155</v>
      </c>
      <c r="H61" s="268" t="n">
        <v>46164</v>
      </c>
      <c r="I61" s="268" t="n">
        <v>46183</v>
      </c>
      <c r="J61" s="268" t="n">
        <v>46175</v>
      </c>
      <c r="K61" s="268" t="n">
        <v>46178</v>
      </c>
      <c r="L61" s="268" t="n">
        <v>46181</v>
      </c>
      <c r="M61" s="268" t="inlineStr">
        <is>
          <t>في الموعد</t>
        </is>
      </c>
      <c r="N61" s="268" t="n"/>
      <c r="O61" s="7" t="inlineStr">
        <is>
          <t>مغلق</t>
        </is>
      </c>
      <c r="P61" s="7" t="inlineStr">
        <is>
          <t>محلي</t>
        </is>
      </c>
      <c r="Q61" s="14" t="inlineStr">
        <is>
          <t>اللجنة العليا للتشريعات في إمارة دبي</t>
        </is>
      </c>
      <c r="R61" s="14" t="n"/>
      <c r="S61" s="14" t="n"/>
      <c r="T61" s="14" t="n">
        <v>2026</v>
      </c>
      <c r="U61" s="14">
        <f>IF(
K61&lt;&gt;"",
"",
IF(
IF(I61&lt;&gt;"",I61,H61)="",
"",
IF(
ValidationDate&gt;IF(I61&lt;&gt;"",I61,H61),
"متأخر",
""
)
)
)</f>
        <v/>
      </c>
      <c r="V61" s="14">
        <f>IF(
OR(
M61&lt;&gt;"في الموعد",
NOT(ISNUMBER(K61)),
NOT(ISNUMBER(H61))
),
"",
IF(
INT(K61)&gt;INT(H61),
"متأخر",
""
)
)</f>
        <v/>
      </c>
      <c r="W61" s="14">
        <f>IF(COUNT(F61:K61)=0,"",TEXT(IF(K61&lt;&gt;"",K61,IF(I61&lt;&gt;"",I61,IF(J61&lt;&gt;"",J61,IF(H61&lt;&gt;"",H61,IF(G61&lt;&gt;"",G61,F61))))),"[$-en-US]mmm"))</f>
        <v/>
      </c>
    </row>
    <row r="62">
      <c r="A62" s="14" t="n">
        <v>94</v>
      </c>
      <c r="B62" s="14" t="n">
        <v>740</v>
      </c>
      <c r="C62" t="inlineStr">
        <is>
          <t>تشريع توضيحي 061</t>
        </is>
      </c>
      <c r="D62" s="14" t="inlineStr">
        <is>
          <t>الاقتصاد والتنمية الاجتماعية</t>
        </is>
      </c>
      <c r="E62" s="14" t="inlineStr">
        <is>
          <t>السياسات والاستراتيجيات الاقتصادية</t>
        </is>
      </c>
      <c r="F62" s="268" t="n">
        <v>46157</v>
      </c>
      <c r="G62" s="268" t="n">
        <v>46157</v>
      </c>
      <c r="H62" s="268" t="n">
        <v>46185</v>
      </c>
      <c r="I62" s="268" t="n"/>
      <c r="J62" s="268" t="n">
        <v>46182</v>
      </c>
      <c r="K62" s="268" t="n">
        <v>46164</v>
      </c>
      <c r="L62" s="268" t="n">
        <v>46175</v>
      </c>
      <c r="M62" s="268" t="inlineStr">
        <is>
          <t>في الموعد</t>
        </is>
      </c>
      <c r="N62" s="268" t="n"/>
      <c r="O62" s="7" t="inlineStr">
        <is>
          <t>مغلق</t>
        </is>
      </c>
      <c r="P62" s="7" t="inlineStr">
        <is>
          <t>محلي</t>
        </is>
      </c>
      <c r="Q62" s="14" t="inlineStr">
        <is>
          <t>اللجنة العليا للتشريعات في إمارة دبي</t>
        </is>
      </c>
      <c r="R62" s="14" t="n"/>
      <c r="S62" s="14" t="n"/>
      <c r="T62" s="14" t="n">
        <v>2026</v>
      </c>
      <c r="U62" s="14">
        <f>IF(
K62&lt;&gt;"",
"",
IF(
IF(I62&lt;&gt;"",I62,H62)="",
"",
IF(
ValidationDate&gt;IF(I62&lt;&gt;"",I62,H62),
"متأخر",
""
)
)
)</f>
        <v/>
      </c>
      <c r="V62" s="14">
        <f>IF(
OR(
M62&lt;&gt;"في الموعد",
NOT(ISNUMBER(K62)),
NOT(ISNUMBER(H62))
),
"",
IF(
INT(K62)&gt;INT(H62),
"متأخر",
""
)
)</f>
        <v/>
      </c>
      <c r="W62" s="14">
        <f>IF(COUNT(F62:K62)=0,"",TEXT(IF(K62&lt;&gt;"",K62,IF(I62&lt;&gt;"",I62,IF(J62&lt;&gt;"",J62,IF(H62&lt;&gt;"",H62,IF(G62&lt;&gt;"",G62,F62))))),"[$-en-US]mmm"))</f>
        <v/>
      </c>
    </row>
    <row r="63">
      <c r="A63" s="14" t="n">
        <v>102</v>
      </c>
      <c r="B63" s="14" t="n">
        <v>803</v>
      </c>
      <c r="C63" t="inlineStr">
        <is>
          <t>تشريع توضيحي 062</t>
        </is>
      </c>
      <c r="D63" s="14" t="inlineStr">
        <is>
          <t>الاقتصاد والتنمية الاجتماعية</t>
        </is>
      </c>
      <c r="E63" s="14" t="inlineStr">
        <is>
          <t>السياسات والاستراتيجيات الاقتصادية</t>
        </is>
      </c>
      <c r="F63" s="268" t="n">
        <v>46174</v>
      </c>
      <c r="G63" s="268" t="n">
        <v>46174</v>
      </c>
      <c r="H63" s="268" t="n">
        <v>46185</v>
      </c>
      <c r="I63" s="268" t="n"/>
      <c r="J63" s="268" t="n">
        <v>46182</v>
      </c>
      <c r="K63" s="268" t="n">
        <v>46184</v>
      </c>
      <c r="L63" s="268" t="n">
        <v>46185</v>
      </c>
      <c r="M63" s="268" t="inlineStr">
        <is>
          <t>في الموعد</t>
        </is>
      </c>
      <c r="N63" s="268" t="n"/>
      <c r="O63" s="7" t="inlineStr">
        <is>
          <t>مغلق</t>
        </is>
      </c>
      <c r="P63" s="7" t="inlineStr">
        <is>
          <t>اتحادي</t>
        </is>
      </c>
      <c r="Q63" s="14" t="inlineStr">
        <is>
          <t>اللجنة العليا للتشريعات في إمارة دبي</t>
        </is>
      </c>
      <c r="R63" s="14" t="n"/>
      <c r="S63" s="14" t="n"/>
      <c r="T63" s="14" t="n">
        <v>2026</v>
      </c>
      <c r="U63" s="14">
        <f>IF(
K63&lt;&gt;"",
"",
IF(
IF(I63&lt;&gt;"",I63,H63)="",
"",
IF(
ValidationDate&gt;IF(I63&lt;&gt;"",I63,H63),
"متأخر",
""
)
)
)</f>
        <v/>
      </c>
      <c r="V63" s="14">
        <f>IF(
OR(
M63&lt;&gt;"في الموعد",
NOT(ISNUMBER(K63)),
NOT(ISNUMBER(H63))
),
"",
IF(
INT(K63)&gt;INT(H63),
"متأخر",
""
)
)</f>
        <v/>
      </c>
      <c r="W63" s="14">
        <f>IF(COUNT(F63:K63)=0,"",TEXT(IF(K63&lt;&gt;"",K63,IF(I63&lt;&gt;"",I63,IF(J63&lt;&gt;"",J63,IF(H63&lt;&gt;"",H63,IF(G63&lt;&gt;"",G63,F63))))),"[$-en-US]mmm"))</f>
        <v/>
      </c>
    </row>
    <row r="64">
      <c r="A64" s="14" t="n">
        <v>106</v>
      </c>
      <c r="B64" s="14" t="n">
        <v>855</v>
      </c>
      <c r="C64" t="inlineStr">
        <is>
          <t>تشريع توضيحي 063</t>
        </is>
      </c>
      <c r="D64" s="14" t="inlineStr">
        <is>
          <t>الاقتصاد والتنمية الاجتماعية</t>
        </is>
      </c>
      <c r="E64" s="14" t="inlineStr">
        <is>
          <t>السياسات والاستراتيجيات الاقتصادية</t>
        </is>
      </c>
      <c r="F64" s="268" t="n">
        <v>46181</v>
      </c>
      <c r="G64" s="268" t="n">
        <v>46181</v>
      </c>
      <c r="H64" s="268" t="n">
        <v>46192</v>
      </c>
      <c r="I64" s="268" t="n">
        <v>46199</v>
      </c>
      <c r="J64" s="268" t="n">
        <v>46189</v>
      </c>
      <c r="K64" s="268" t="n">
        <v>46199</v>
      </c>
      <c r="L64" s="268" t="n">
        <v>46202</v>
      </c>
      <c r="M64" s="268" t="inlineStr">
        <is>
          <t>في الموعد</t>
        </is>
      </c>
      <c r="N64" s="268" t="n"/>
      <c r="O64" s="7" t="inlineStr">
        <is>
          <t>مغلق</t>
        </is>
      </c>
      <c r="P64" s="7" t="inlineStr">
        <is>
          <t>محلي</t>
        </is>
      </c>
      <c r="Q64" s="14" t="inlineStr">
        <is>
          <t>اللجنة العليا للتشريعات في إمارة دبي</t>
        </is>
      </c>
      <c r="R64" s="14" t="n"/>
      <c r="S64" s="14" t="n"/>
      <c r="T64" s="14" t="n">
        <v>2026</v>
      </c>
      <c r="U64" s="14">
        <f>IF(
K64&lt;&gt;"",
"",
IF(
IF(I64&lt;&gt;"",I64,H64)="",
"",
IF(
ValidationDate&gt;IF(I64&lt;&gt;"",I64,H64),
"متأخر",
""
)
)
)</f>
        <v/>
      </c>
      <c r="V64" s="14">
        <f>IF(
OR(
M64&lt;&gt;"في الموعد",
NOT(ISNUMBER(K64)),
NOT(ISNUMBER(H64))
),
"",
IF(
INT(K64)&gt;INT(H64),
"متأخر",
""
)
)</f>
        <v/>
      </c>
      <c r="W64" s="14">
        <f>IF(COUNT(F64:K64)=0,"",TEXT(IF(K64&lt;&gt;"",K64,IF(I64&lt;&gt;"",I64,IF(J64&lt;&gt;"",J64,IF(H64&lt;&gt;"",H64,IF(G64&lt;&gt;"",G64,F64))))),"[$-en-US]mmm"))</f>
        <v/>
      </c>
    </row>
    <row r="65">
      <c r="A65" s="14" t="n">
        <v>108</v>
      </c>
      <c r="B65" s="14" t="n">
        <v>868</v>
      </c>
      <c r="C65" t="inlineStr">
        <is>
          <t>تشريع توضيحي 064</t>
        </is>
      </c>
      <c r="D65" s="14" t="inlineStr">
        <is>
          <t>الاقتصاد والتنمية الاجتماعية</t>
        </is>
      </c>
      <c r="E65" s="14" t="inlineStr">
        <is>
          <t>السياسات والاستراتيجيات الاقتصادية</t>
        </is>
      </c>
      <c r="F65" s="268" t="n">
        <v>46183</v>
      </c>
      <c r="G65" s="268" t="n">
        <v>46183</v>
      </c>
      <c r="H65" s="268" t="n">
        <v>46189</v>
      </c>
      <c r="I65" s="268" t="n">
        <v>46199</v>
      </c>
      <c r="J65" s="268" t="n">
        <v>46188</v>
      </c>
      <c r="K65" s="268" t="n">
        <v>46195</v>
      </c>
      <c r="L65" s="268" t="n">
        <v>46196</v>
      </c>
      <c r="M65" s="268" t="inlineStr">
        <is>
          <t>في الموعد</t>
        </is>
      </c>
      <c r="N65" s="268" t="n"/>
      <c r="O65" s="7" t="inlineStr">
        <is>
          <t>مغلق</t>
        </is>
      </c>
      <c r="P65" s="7" t="inlineStr">
        <is>
          <t>اتحادي</t>
        </is>
      </c>
      <c r="Q65" s="14" t="inlineStr">
        <is>
          <t>اللجنة العليا للتشريعات في إمارة دبي</t>
        </is>
      </c>
      <c r="R65" s="14" t="n"/>
      <c r="S65" s="14" t="n"/>
      <c r="T65" s="14" t="n">
        <v>2026</v>
      </c>
      <c r="U65" s="14">
        <f>IF(
K65&lt;&gt;"",
"",
IF(
IF(I65&lt;&gt;"",I65,H65)="",
"",
IF(
ValidationDate&gt;IF(I65&lt;&gt;"",I65,H65),
"متأخر",
""
)
)
)</f>
        <v/>
      </c>
      <c r="V65" s="14">
        <f>IF(
OR(
M65&lt;&gt;"في الموعد",
NOT(ISNUMBER(K65)),
NOT(ISNUMBER(H65))
),
"",
IF(
INT(K65)&gt;INT(H65),
"متأخر",
""
)
)</f>
        <v/>
      </c>
      <c r="W65" s="14">
        <f>IF(COUNT(F65:K65)=0,"",TEXT(IF(K65&lt;&gt;"",K65,IF(I65&lt;&gt;"",I65,IF(J65&lt;&gt;"",J65,IF(H65&lt;&gt;"",H65,IF(G65&lt;&gt;"",G65,F65))))),"[$-en-US]mmm"))</f>
        <v/>
      </c>
    </row>
    <row r="66">
      <c r="A66" s="14" t="n">
        <v>109</v>
      </c>
      <c r="B66" s="14" t="n">
        <v>875</v>
      </c>
      <c r="C66" t="inlineStr">
        <is>
          <t>تشريع توضيحي 065</t>
        </is>
      </c>
      <c r="D66" s="14" t="inlineStr">
        <is>
          <t>الاقتصاد والتنمية الاجتماعية</t>
        </is>
      </c>
      <c r="E66" s="14" t="inlineStr">
        <is>
          <t>السياسات والاستراتيجيات الاقتصادية</t>
        </is>
      </c>
      <c r="F66" s="268" t="n">
        <v>46183</v>
      </c>
      <c r="G66" s="268" t="n">
        <v>46183</v>
      </c>
      <c r="H66" s="268" t="n">
        <v>46192</v>
      </c>
      <c r="I66" s="268" t="n">
        <v>46199</v>
      </c>
      <c r="J66" s="268" t="n">
        <v>46189</v>
      </c>
      <c r="K66" s="268" t="n">
        <v>46192</v>
      </c>
      <c r="L66" s="268" t="n">
        <v>46195</v>
      </c>
      <c r="M66" s="268" t="inlineStr">
        <is>
          <t>في الموعد</t>
        </is>
      </c>
      <c r="N66" s="268" t="n"/>
      <c r="O66" s="7" t="inlineStr">
        <is>
          <t>مغلق</t>
        </is>
      </c>
      <c r="P66" s="7" t="inlineStr">
        <is>
          <t>اتحادي</t>
        </is>
      </c>
      <c r="Q66" s="14" t="inlineStr">
        <is>
          <t>اللجنة العليا للتشريعات في إمارة دبي</t>
        </is>
      </c>
      <c r="R66" s="14" t="n"/>
      <c r="S66" s="14" t="n"/>
      <c r="T66" s="14" t="n">
        <v>2026</v>
      </c>
      <c r="U66" s="14">
        <f>IF(
   K66&lt;&gt;"",
   "",
   IF(
      IF(I66&lt;&gt;"",I66,H66)="",
      "",
      IF(
         ValidationDate&gt;IF(I66&lt;&gt;"",I66,H66),
         "متأخر",
         ""
      )
   )
)</f>
        <v/>
      </c>
      <c r="V66" s="14">
        <f>IF(
OR(
M66&lt;&gt;"في الموعد",
NOT(ISNUMBER(K66)),
NOT(ISNUMBER(H66))
),
"",
IF(
INT(K66)&gt;INT(H66),
"متأخر",
""
)
)</f>
        <v/>
      </c>
      <c r="W66" s="14">
        <f>IF(COUNT(F66:K66)=0,"",TEXT(IF(K66&lt;&gt;"",K66,IF(I66&lt;&gt;"",I66,IF(J66&lt;&gt;"",J66,IF(H66&lt;&gt;"",H66,IF(G66&lt;&gt;"",G66,F66))))),"[$-en-US]mmm"))</f>
        <v/>
      </c>
    </row>
    <row r="67">
      <c r="A67" s="14" t="n">
        <v>116</v>
      </c>
      <c r="B67" s="14" t="n">
        <v>911</v>
      </c>
      <c r="C67" t="inlineStr">
        <is>
          <t>تشريع توضيحي 066</t>
        </is>
      </c>
      <c r="D67" s="14" t="inlineStr">
        <is>
          <t>الاقتصاد والتنمية الاجتماعية</t>
        </is>
      </c>
      <c r="E67" s="14" t="inlineStr">
        <is>
          <t>السياسات والاستراتيجيات الاقتصادية</t>
        </is>
      </c>
      <c r="F67" s="268" t="n">
        <v>46191</v>
      </c>
      <c r="G67" s="268" t="n">
        <v>46191</v>
      </c>
      <c r="H67" s="268" t="n">
        <v>46206</v>
      </c>
      <c r="I67" s="268" t="n"/>
      <c r="J67" s="268" t="n">
        <v>46203</v>
      </c>
      <c r="K67" s="268" t="n">
        <v>46203</v>
      </c>
      <c r="L67" s="268" t="n">
        <v>46206</v>
      </c>
      <c r="M67" s="268" t="inlineStr">
        <is>
          <t>في الموعد</t>
        </is>
      </c>
      <c r="N67" s="268" t="n"/>
      <c r="O67" s="7" t="inlineStr">
        <is>
          <t>مغلق</t>
        </is>
      </c>
      <c r="P67" s="7" t="inlineStr">
        <is>
          <t>اتحادي</t>
        </is>
      </c>
      <c r="Q67" s="14" t="inlineStr">
        <is>
          <t>اللجنة العليا للتشريعات في إمارة دبي</t>
        </is>
      </c>
      <c r="R67" s="14" t="n"/>
      <c r="S67" s="14" t="n"/>
      <c r="T67" s="14" t="n">
        <v>2026</v>
      </c>
      <c r="U67" s="14">
        <f>IF(
K67&lt;&gt;"",
"",
IF(
IF(I67&lt;&gt;"",I67,H67)="",
"",
IF(
ValidationDate&gt;IF(I67&lt;&gt;"",I67,H67),
"متأخر",
""
)
)
)</f>
        <v/>
      </c>
      <c r="V67" s="14">
        <f>IF(
OR(
M67&lt;&gt;"في الموعد",
NOT(ISNUMBER(K67)),
NOT(ISNUMBER(H67))
),
"",
IF(
INT(K67)&gt;INT(H67),
"متأخر",
""
)
)</f>
        <v/>
      </c>
      <c r="W67" s="14">
        <f>IF(COUNT(F67:K67)=0,"",TEXT(IF(K67&lt;&gt;"",K67,IF(I67&lt;&gt;"",I67,IF(J67&lt;&gt;"",J67,IF(H67&lt;&gt;"",H67,IF(G67&lt;&gt;"",G67,F67))))),"[$-en-US]mmm"))</f>
        <v/>
      </c>
    </row>
    <row r="68">
      <c r="A68" s="14" t="n">
        <v>122</v>
      </c>
      <c r="B68" s="14" t="n">
        <v>951</v>
      </c>
      <c r="C68" t="inlineStr">
        <is>
          <t>تشريع توضيحي 067</t>
        </is>
      </c>
      <c r="D68" s="14" t="inlineStr">
        <is>
          <t>الاقتصاد والتنمية الاجتماعية</t>
        </is>
      </c>
      <c r="E68" s="14" t="inlineStr">
        <is>
          <t>السياسات والاستراتيجيات الاقتصادية</t>
        </is>
      </c>
      <c r="F68" s="268" t="n">
        <v>46198</v>
      </c>
      <c r="G68" s="268" t="n">
        <v>46198</v>
      </c>
      <c r="H68" s="268" t="n">
        <v>46203</v>
      </c>
      <c r="I68" s="268" t="n">
        <v>46210</v>
      </c>
      <c r="J68" s="268" t="n">
        <v>46202</v>
      </c>
      <c r="K68" s="268" t="n">
        <v>46204</v>
      </c>
      <c r="L68" s="268" t="n">
        <v>46216</v>
      </c>
      <c r="M68" s="268" t="inlineStr">
        <is>
          <t>في الموعد</t>
        </is>
      </c>
      <c r="N68" s="268" t="n"/>
      <c r="O68" s="7" t="inlineStr">
        <is>
          <t>مغلق</t>
        </is>
      </c>
      <c r="P68" s="7" t="inlineStr">
        <is>
          <t>محلي</t>
        </is>
      </c>
      <c r="Q68" s="14" t="inlineStr">
        <is>
          <t>اللجنة العليا للتشريعات في إمارة دبي</t>
        </is>
      </c>
      <c r="R68" s="14" t="n"/>
      <c r="S68" s="14" t="n"/>
      <c r="T68" s="14" t="n">
        <v>2026</v>
      </c>
      <c r="U68" s="14">
        <f>IF(
K68&lt;&gt;"",
"",
IF(
IF(I68&lt;&gt;"",I68,H68)="",
"",
IF(
ValidationDate&gt;IF(I68&lt;&gt;"",I68,H68),
"متأخر",
""
)
)
)</f>
        <v/>
      </c>
      <c r="V68" s="14">
        <f>IF(
OR(
M68&lt;&gt;"في الموعد",
NOT(ISNUMBER(K68)),
NOT(ISNUMBER(H68))
),
"",
IF(
INT(K68)&gt;INT(H68),
"متأخر",
""
)
)</f>
        <v/>
      </c>
      <c r="W68" s="14">
        <f>IF(COUNT(F68:K68)=0,"",TEXT(IF(K68&lt;&gt;"",K68,IF(I68&lt;&gt;"",I68,IF(J68&lt;&gt;"",J68,IF(H68&lt;&gt;"",H68,IF(G68&lt;&gt;"",G68,F68))))),"[$-en-US]mmm"))</f>
        <v/>
      </c>
    </row>
    <row r="69">
      <c r="A69" s="14" t="n">
        <v>125</v>
      </c>
      <c r="B69" s="14" t="n">
        <v>1002</v>
      </c>
      <c r="C69" t="inlineStr">
        <is>
          <t>تشريع توضيحي 068</t>
        </is>
      </c>
      <c r="D69" s="14" t="inlineStr">
        <is>
          <t>الاقتصاد والتنمية الاجتماعية</t>
        </is>
      </c>
      <c r="E69" s="14" t="inlineStr">
        <is>
          <t>السياسات والاستراتيجيات الاقتصادية</t>
        </is>
      </c>
      <c r="F69" s="268" t="n">
        <v>46209</v>
      </c>
      <c r="G69" s="268" t="n">
        <v>46209</v>
      </c>
      <c r="H69" s="268" t="n">
        <v>46220</v>
      </c>
      <c r="I69" s="268" t="n"/>
      <c r="J69" s="268" t="n">
        <v>46216</v>
      </c>
      <c r="K69" s="268" t="n">
        <v>46218</v>
      </c>
      <c r="L69" s="268" t="n">
        <v>46224</v>
      </c>
      <c r="M69" s="268" t="inlineStr">
        <is>
          <t>في الموعد</t>
        </is>
      </c>
      <c r="N69" s="268" t="n"/>
      <c r="O69" s="7" t="inlineStr">
        <is>
          <t>مغلق</t>
        </is>
      </c>
      <c r="P69" s="7" t="inlineStr">
        <is>
          <t>محلي</t>
        </is>
      </c>
      <c r="Q69" s="14" t="inlineStr">
        <is>
          <t>اللجنة العليا للتشريعات في إمارة دبي</t>
        </is>
      </c>
      <c r="R69" s="14" t="n"/>
      <c r="S69" s="14" t="n"/>
      <c r="T69" s="14" t="n">
        <v>2026</v>
      </c>
      <c r="U69" s="14">
        <f>IF(
K69&lt;&gt;"",
"",
IF(
IF(I69&lt;&gt;"",I69,H69)="",
"",
IF(
ValidationDate&gt;IF(I69&lt;&gt;"",I69,H69),
"متأخر",
""
)
)
)</f>
        <v/>
      </c>
      <c r="V69" s="14">
        <f>IF(
OR(
M69&lt;&gt;"في الموعد",
NOT(ISNUMBER(K69)),
NOT(ISNUMBER(H69))
),
"",
IF(
INT(K69)&gt;INT(H69),
"متأخر",
""
)
)</f>
        <v/>
      </c>
      <c r="W69" s="14">
        <f>IF(COUNT(F69:K69)=0,"",TEXT(IF(K69&lt;&gt;"",K69,IF(I69&lt;&gt;"",I69,IF(J69&lt;&gt;"",J69,IF(H69&lt;&gt;"",H69,IF(G69&lt;&gt;"",G69,F69))))),"[$-en-US]mmm"))</f>
        <v/>
      </c>
    </row>
    <row r="70">
      <c r="A70" s="14" t="n">
        <v>129</v>
      </c>
      <c r="B70" s="14" t="n">
        <v>1011</v>
      </c>
      <c r="C70" t="inlineStr">
        <is>
          <t>تشريع توضيحي 069</t>
        </is>
      </c>
      <c r="D70" s="14" t="inlineStr">
        <is>
          <t>الاقتصاد والتنمية الاجتماعية</t>
        </is>
      </c>
      <c r="E70" s="14" t="inlineStr">
        <is>
          <t>السياسات والاستراتيجيات الاقتصادية</t>
        </is>
      </c>
      <c r="F70" s="268" t="n">
        <v>46210</v>
      </c>
      <c r="G70" s="268" t="n">
        <v>46210</v>
      </c>
      <c r="H70" s="268" t="n">
        <v>46220</v>
      </c>
      <c r="I70" s="268" t="n"/>
      <c r="J70" s="268" t="n">
        <v>46217</v>
      </c>
      <c r="K70" s="268" t="n">
        <v>46214</v>
      </c>
      <c r="L70" s="268" t="n">
        <v>46264</v>
      </c>
      <c r="M70" s="268" t="inlineStr">
        <is>
          <t>في الموعد</t>
        </is>
      </c>
      <c r="N70" s="268" t="n"/>
      <c r="O70" s="7" t="inlineStr">
        <is>
          <t>مغلق</t>
        </is>
      </c>
      <c r="P70" s="7" t="inlineStr">
        <is>
          <t>محلي</t>
        </is>
      </c>
      <c r="Q70" s="14" t="inlineStr">
        <is>
          <t>اللجنة العليا للتشريعات في إمارة دبي</t>
        </is>
      </c>
      <c r="R70" s="14" t="n"/>
      <c r="S70" s="14" t="n"/>
      <c r="T70" s="14" t="n">
        <v>2026</v>
      </c>
      <c r="U70" s="14">
        <f>IF(
K70&lt;&gt;"",
"",
IF(
IF(I70&lt;&gt;"",I70,H70)="",
"",
IF(
ValidationDate&gt;IF(I70&lt;&gt;"",I70,H70),
"متأخر",
""
)
)
)</f>
        <v/>
      </c>
      <c r="V70" s="14">
        <f>IF(
OR(
M70&lt;&gt;"في الموعد",
NOT(ISNUMBER(K70)),
NOT(ISNUMBER(H70))
),
"",
IF(
INT(K70)&gt;INT(H70),
"متأخر",
""
)
)</f>
        <v/>
      </c>
      <c r="W70" s="14">
        <f>IF(COUNT(F70:K70)=0,"",TEXT(IF(K70&lt;&gt;"",K70,IF(I70&lt;&gt;"",I70,IF(J70&lt;&gt;"",J70,IF(H70&lt;&gt;"",H70,IF(G70&lt;&gt;"",G70,F70))))),"[$-en-US]mmm"))</f>
        <v/>
      </c>
    </row>
    <row r="71">
      <c r="A71" s="14" t="n">
        <v>130</v>
      </c>
      <c r="B71" s="14" t="n">
        <v>1019</v>
      </c>
      <c r="C71" t="inlineStr">
        <is>
          <t>تشريع توضيحي 070</t>
        </is>
      </c>
      <c r="D71" s="14" t="inlineStr">
        <is>
          <t>الاقتصاد والتنمية الاجتماعية</t>
        </is>
      </c>
      <c r="E71" s="14" t="inlineStr">
        <is>
          <t>السياسات والاستراتيجيات الاقتصادية</t>
        </is>
      </c>
      <c r="F71" s="268" t="n">
        <v>46211</v>
      </c>
      <c r="G71" s="268" t="n">
        <v>46211</v>
      </c>
      <c r="H71" s="268" t="n">
        <v>46213</v>
      </c>
      <c r="I71" s="268" t="n">
        <v>46220</v>
      </c>
      <c r="J71" s="268" t="n">
        <v>46217</v>
      </c>
      <c r="K71" s="268" t="n">
        <v>46218</v>
      </c>
      <c r="L71" s="268" t="n">
        <v>46219</v>
      </c>
      <c r="M71" s="268" t="inlineStr">
        <is>
          <t>في الموعد</t>
        </is>
      </c>
      <c r="N71" s="268" t="n"/>
      <c r="O71" s="7" t="inlineStr">
        <is>
          <t>مغلق</t>
        </is>
      </c>
      <c r="P71" s="7" t="inlineStr">
        <is>
          <t>اتحادي</t>
        </is>
      </c>
      <c r="Q71" s="14" t="inlineStr">
        <is>
          <t>اللجنة العليا للتشريعات في إمارة دبي</t>
        </is>
      </c>
      <c r="R71" s="14" t="n"/>
      <c r="S71" s="14" t="n"/>
      <c r="T71" s="14" t="n">
        <v>2026</v>
      </c>
      <c r="U71" s="14">
        <f>IF(
K71&lt;&gt;"",
"",
IF(
IF(I71&lt;&gt;"",I71,H71)="",
"",
IF(
ValidationDate&gt;IF(I71&lt;&gt;"",I71,H71),
"متأخر",
""
)
)
)</f>
        <v/>
      </c>
      <c r="V71" s="14">
        <f>IF(
OR(
M71&lt;&gt;"في الموعد",
NOT(ISNUMBER(K71)),
NOT(ISNUMBER(H71))
),
"",
IF(
INT(K71)&gt;INT(H71),
"متأخر",
""
)
)</f>
        <v/>
      </c>
      <c r="W71" s="14">
        <f>IF(COUNT(F71:K71)=0,"",TEXT(IF(K71&lt;&gt;"",K71,IF(I71&lt;&gt;"",I71,IF(J71&lt;&gt;"",J71,IF(H71&lt;&gt;"",H71,IF(G71&lt;&gt;"",G71,F71))))),"[$-en-US]mmm"))</f>
        <v/>
      </c>
    </row>
    <row r="72">
      <c r="A72" s="14" t="n">
        <v>142</v>
      </c>
      <c r="B72" s="14" t="n">
        <v>1139</v>
      </c>
      <c r="C72" t="inlineStr">
        <is>
          <t>تشريع توضيحي 071</t>
        </is>
      </c>
      <c r="D72" s="14" t="inlineStr">
        <is>
          <t>الاقتصاد والتنمية الاجتماعية</t>
        </is>
      </c>
      <c r="E72" s="14" t="inlineStr">
        <is>
          <t>السياسات والاستراتيجيات الاقتصادية</t>
        </is>
      </c>
      <c r="F72" s="268" t="n">
        <v>46230</v>
      </c>
      <c r="G72" s="268" t="n">
        <v>46230</v>
      </c>
      <c r="H72" s="268" t="n">
        <v>46241</v>
      </c>
      <c r="I72" s="268" t="n">
        <v>46248</v>
      </c>
      <c r="J72" s="268" t="n">
        <v>46238</v>
      </c>
      <c r="K72" s="268" t="n">
        <v>46246</v>
      </c>
      <c r="L72" s="268" t="n">
        <v>46255</v>
      </c>
      <c r="M72" s="268" t="inlineStr">
        <is>
          <t>في الموعد</t>
        </is>
      </c>
      <c r="N72" s="268" t="n"/>
      <c r="O72" s="7" t="inlineStr">
        <is>
          <t>مغلق</t>
        </is>
      </c>
      <c r="P72" s="7" t="inlineStr">
        <is>
          <t>محلي</t>
        </is>
      </c>
      <c r="Q72" s="14" t="inlineStr">
        <is>
          <t>اللجنة العليا للتشريعات في إمارة دبي</t>
        </is>
      </c>
      <c r="R72" s="14" t="n"/>
      <c r="S72" s="14" t="n"/>
      <c r="T72" s="14" t="n">
        <v>2026</v>
      </c>
      <c r="U72" s="14">
        <f>IF(
K72&lt;&gt;"",
"",
IF(
IF(I72&lt;&gt;"",I72,H72)="",
"",
IF(
ValidationDate&gt;IF(I72&lt;&gt;"",I72,H72),
"متأخر",
""
)
)
)</f>
        <v/>
      </c>
      <c r="V72" s="14">
        <f>IF(
OR(
M72&lt;&gt;"في الموعد",
NOT(ISNUMBER(K72)),
NOT(ISNUMBER(H72))
),
"",
IF(
INT(K72)&gt;INT(H72),
"متأخر",
""
)
)</f>
        <v/>
      </c>
      <c r="W72" s="14">
        <f>IF(COUNT(F72:K72)=0,"",TEXT(IF(K72&lt;&gt;"",K72,IF(I72&lt;&gt;"",I72,IF(J72&lt;&gt;"",J72,IF(H72&lt;&gt;"",H72,IF(G72&lt;&gt;"",G72,F72))))),"[$-en-US]mmm"))</f>
        <v/>
      </c>
    </row>
    <row r="73">
      <c r="A73" s="14" t="n">
        <v>152</v>
      </c>
      <c r="B73" s="14" t="n">
        <v>1186</v>
      </c>
      <c r="C73" t="inlineStr">
        <is>
          <t>تشريع توضيحي 072</t>
        </is>
      </c>
      <c r="D73" s="14" t="inlineStr">
        <is>
          <t>الاقتصاد والتنمية الاجتماعية</t>
        </is>
      </c>
      <c r="E73" s="14" t="inlineStr">
        <is>
          <t>السياسات والاستراتيجيات الاقتصادية</t>
        </is>
      </c>
      <c r="F73" s="268" t="n">
        <v>46237</v>
      </c>
      <c r="G73" s="268" t="n">
        <v>46237</v>
      </c>
      <c r="H73" s="268" t="n">
        <v>46262</v>
      </c>
      <c r="I73" s="268" t="n"/>
      <c r="J73" s="268" t="n">
        <v>46259</v>
      </c>
      <c r="K73" s="268" t="n">
        <v>46246</v>
      </c>
      <c r="L73" s="268" t="n">
        <v>46247</v>
      </c>
      <c r="M73" s="268" t="inlineStr">
        <is>
          <t>في الموعد</t>
        </is>
      </c>
      <c r="N73" s="268" t="n"/>
      <c r="O73" s="7" t="inlineStr">
        <is>
          <t>مغلق</t>
        </is>
      </c>
      <c r="P73" s="7" t="inlineStr">
        <is>
          <t>محلي</t>
        </is>
      </c>
      <c r="Q73" s="14" t="inlineStr">
        <is>
          <t>اللجنة العليا للتشريعات في إمارة دبي</t>
        </is>
      </c>
      <c r="R73" s="14" t="n"/>
      <c r="S73" s="14" t="n"/>
      <c r="T73" s="14" t="n">
        <v>2026</v>
      </c>
      <c r="U73" s="14">
        <f>IF(
K73&lt;&gt;"",
"",
IF(
IF(I73&lt;&gt;"",I73,H73)="",
"",
IF(
ValidationDate&gt;IF(I73&lt;&gt;"",I73,H73),
"متأخر",
""
)
)
)</f>
        <v/>
      </c>
      <c r="V73" s="14">
        <f>IF(
OR(
M73&lt;&gt;"في الموعد",
NOT(ISNUMBER(K73)),
NOT(ISNUMBER(H73))
),
"",
IF(
INT(K73)&gt;INT(H73),
"متأخر",
""
)
)</f>
        <v/>
      </c>
      <c r="W73" s="14">
        <f>IF(COUNT(F73:K73)=0,"",TEXT(IF(K73&lt;&gt;"",K73,IF(I73&lt;&gt;"",I73,IF(J73&lt;&gt;"",J73,IF(H73&lt;&gt;"",H73,IF(G73&lt;&gt;"",G73,F73))))),"[$-en-US]mmm"))</f>
        <v/>
      </c>
    </row>
    <row r="74">
      <c r="A74" s="14" t="n">
        <v>162</v>
      </c>
      <c r="B74" s="14" t="n">
        <v>1232</v>
      </c>
      <c r="C74" t="inlineStr">
        <is>
          <t>تشريع توضيحي 073</t>
        </is>
      </c>
      <c r="D74" s="14" t="inlineStr">
        <is>
          <t>الاقتصاد والتنمية الاجتماعية</t>
        </is>
      </c>
      <c r="E74" s="14" t="inlineStr">
        <is>
          <t>السياسات والاستراتيجيات الاقتصادية</t>
        </is>
      </c>
      <c r="F74" s="268" t="n">
        <v>46246</v>
      </c>
      <c r="G74" s="268" t="n">
        <v>46246</v>
      </c>
      <c r="H74" s="268" t="n">
        <v>46258</v>
      </c>
      <c r="I74" s="268" t="n"/>
      <c r="J74" s="268" t="n">
        <v>46254</v>
      </c>
      <c r="K74" s="268" t="n">
        <v>46254</v>
      </c>
      <c r="L74" s="268" t="n">
        <v>46255</v>
      </c>
      <c r="M74" s="268" t="inlineStr">
        <is>
          <t>في الموعد</t>
        </is>
      </c>
      <c r="N74" s="268" t="n"/>
      <c r="O74" s="7" t="inlineStr">
        <is>
          <t>مغلق</t>
        </is>
      </c>
      <c r="P74" s="7" t="inlineStr">
        <is>
          <t>اتحادي</t>
        </is>
      </c>
      <c r="Q74" s="14" t="inlineStr">
        <is>
          <t>اللجنة العليا للتشريعات في إمارة دبي</t>
        </is>
      </c>
      <c r="R74" s="14" t="n"/>
      <c r="S74" s="14" t="n"/>
      <c r="T74" s="14" t="n">
        <v>2026</v>
      </c>
      <c r="U74" s="14">
        <f>IF(
K74&lt;&gt;"",
"",
IF(
IF(I74&lt;&gt;"",I74,H74)="",
"",
IF(
ValidationDate&gt;IF(I74&lt;&gt;"",I74,H74),
"متأخر",
""
)
)
)</f>
        <v/>
      </c>
      <c r="V74" s="14">
        <f>IF(
OR(
M74&lt;&gt;"في الموعد",
NOT(ISNUMBER(K74)),
NOT(ISNUMBER(H74))
),
"",
IF(
INT(K74)&gt;INT(H74),
"متأخر",
""
)
)</f>
        <v/>
      </c>
      <c r="W74" s="14">
        <f>IF(COUNT(F74:K74)=0,"",TEXT(IF(K74&lt;&gt;"",K74,IF(I74&lt;&gt;"",I74,IF(J74&lt;&gt;"",J74,IF(H74&lt;&gt;"",H74,IF(G74&lt;&gt;"",G74,F74))))),"[$-en-US]mmm"))</f>
        <v/>
      </c>
    </row>
    <row r="75">
      <c r="A75" s="14" t="n">
        <v>169</v>
      </c>
      <c r="B75" s="14" t="n">
        <v>1256</v>
      </c>
      <c r="C75" t="inlineStr">
        <is>
          <t>تشريع توضيحي 074</t>
        </is>
      </c>
      <c r="D75" s="14" t="inlineStr">
        <is>
          <t>الاقتصاد والتنمية الاجتماعية</t>
        </is>
      </c>
      <c r="E75" s="14" t="inlineStr">
        <is>
          <t>السياسات والاستراتيجيات الاقتصادية</t>
        </is>
      </c>
      <c r="F75" s="268" t="n">
        <v>46252</v>
      </c>
      <c r="G75" s="268" t="n">
        <v>46252</v>
      </c>
      <c r="H75" s="268" t="n">
        <v>46265</v>
      </c>
      <c r="I75" s="268" t="n"/>
      <c r="J75" s="268" t="n">
        <v>46260</v>
      </c>
      <c r="K75" s="268" t="n">
        <v>46261</v>
      </c>
      <c r="L75" s="268" t="n">
        <v>46261</v>
      </c>
      <c r="M75" s="268" t="inlineStr">
        <is>
          <t>في الموعد</t>
        </is>
      </c>
      <c r="N75" s="268" t="n"/>
      <c r="O75" s="7" t="inlineStr">
        <is>
          <t>مغلق</t>
        </is>
      </c>
      <c r="P75" s="7" t="inlineStr">
        <is>
          <t>محلي</t>
        </is>
      </c>
      <c r="Q75" s="14" t="inlineStr">
        <is>
          <t>اللجنة العليا للتشريعات في إمارة دبي</t>
        </is>
      </c>
      <c r="R75" s="14" t="n"/>
      <c r="S75" s="14" t="n"/>
      <c r="T75" s="14" t="n">
        <v>2026</v>
      </c>
      <c r="U75" s="14">
        <f>IF(
K75&lt;&gt;"",
"",
IF(
IF(I75&lt;&gt;"",I75,H75)="",
"",
IF(
ValidationDate&gt;IF(I75&lt;&gt;"",I75,H75),
"متأخر",
""
)
)
)</f>
        <v/>
      </c>
      <c r="V75" s="14">
        <f>IF(
OR(
M75&lt;&gt;"في الموعد",
NOT(ISNUMBER(K75)),
NOT(ISNUMBER(H75))
),
"",
IF(
INT(K75)&gt;INT(H75),
"متأخر",
""
)
)</f>
        <v/>
      </c>
      <c r="W75" s="14">
        <f>IF(COUNT(F75:K75)=0,"",TEXT(IF(K75&lt;&gt;"",K75,IF(I75&lt;&gt;"",I75,IF(J75&lt;&gt;"",J75,IF(H75&lt;&gt;"",H75,IF(G75&lt;&gt;"",G75,F75))))),"[$-en-US]mmm"))</f>
        <v/>
      </c>
    </row>
    <row r="76">
      <c r="A76" s="14" t="n">
        <v>192</v>
      </c>
      <c r="B76" s="14" t="n">
        <v>1199</v>
      </c>
      <c r="C76" t="inlineStr">
        <is>
          <t>تشريع توضيحي 075</t>
        </is>
      </c>
      <c r="D76" s="14" t="inlineStr">
        <is>
          <t>الاقتصاد والتنمية الاجتماعية</t>
        </is>
      </c>
      <c r="E76" s="14" t="inlineStr">
        <is>
          <t>السياسات والاستراتيجيات الاقتصادية</t>
        </is>
      </c>
      <c r="F76" s="268" t="n">
        <v>46239</v>
      </c>
      <c r="G76" s="268" t="n">
        <v>46239</v>
      </c>
      <c r="H76" s="268" t="n">
        <v>46255</v>
      </c>
      <c r="I76" s="268" t="n">
        <v>46290</v>
      </c>
      <c r="J76" s="268" t="n">
        <v>46252</v>
      </c>
      <c r="K76" s="268" t="n"/>
      <c r="L76" s="268" t="n"/>
      <c r="M76" s="268" t="inlineStr">
        <is>
          <t>قيد الإجراء</t>
        </is>
      </c>
      <c r="N76" s="268" t="n"/>
      <c r="O76" s="7" t="inlineStr">
        <is>
          <t>قيد المراجعة</t>
        </is>
      </c>
      <c r="P76" s="7" t="inlineStr">
        <is>
          <t>محلي</t>
        </is>
      </c>
      <c r="Q76" s="14" t="inlineStr">
        <is>
          <t>اللجنة العليا للتشريعات في إمارة دبي</t>
        </is>
      </c>
      <c r="R76" s="14" t="n"/>
      <c r="S76" s="14" t="n"/>
      <c r="T76" s="14" t="n">
        <v>2026</v>
      </c>
      <c r="U76" s="14">
        <f>IF(
K76&lt;&gt;"",
"",
IF(
IF(I76&lt;&gt;"",I76,H76)="",
"",
IF(
ValidationDate&gt;IF(I76&lt;&gt;"",I76,H76),
"متأخر",
""
)
)
)</f>
        <v/>
      </c>
      <c r="V76" s="14">
        <f>IF(
OR(
M76&lt;&gt;"في الموعد",
NOT(ISNUMBER(K76)),
NOT(ISNUMBER(H76))
),
"",
IF(
INT(K76)&gt;INT(H76),
"متأخر",
""
)
)</f>
        <v/>
      </c>
      <c r="W76" s="14">
        <f>IF(COUNT(F76:K76)=0,"",TEXT(IF(K76&lt;&gt;"",K76,IF(I76&lt;&gt;"",I76,IF(J76&lt;&gt;"",J76,IF(H76&lt;&gt;"",H76,IF(G76&lt;&gt;"",G76,F76))))),"[$-en-US]mmm"))</f>
        <v/>
      </c>
    </row>
    <row r="77">
      <c r="A77" s="14" t="n">
        <v>204</v>
      </c>
      <c r="B77" s="14" t="n">
        <v>1322</v>
      </c>
      <c r="C77" t="inlineStr">
        <is>
          <t>تشريع توضيحي 076</t>
        </is>
      </c>
      <c r="D77" s="14" t="inlineStr">
        <is>
          <t>الاقتصاد والتنمية الاجتماعية</t>
        </is>
      </c>
      <c r="E77" s="14" t="inlineStr">
        <is>
          <t>السياسات والاستراتيجيات الاقتصادية</t>
        </is>
      </c>
      <c r="F77" s="268" t="n">
        <v>46269</v>
      </c>
      <c r="G77" s="268" t="n">
        <v>46272</v>
      </c>
      <c r="H77" s="268" t="n">
        <v>46290</v>
      </c>
      <c r="I77" s="268" t="n"/>
      <c r="J77" s="268" t="n">
        <v>46287</v>
      </c>
      <c r="K77" s="268" t="n">
        <v>46274</v>
      </c>
      <c r="L77" s="268" t="n">
        <v>46274</v>
      </c>
      <c r="M77" s="268" t="inlineStr">
        <is>
          <t>في الموعد</t>
        </is>
      </c>
      <c r="N77" s="268" t="n"/>
      <c r="O77" s="7" t="inlineStr">
        <is>
          <t>مغلق</t>
        </is>
      </c>
      <c r="P77" s="7" t="inlineStr">
        <is>
          <t>اتحادي</t>
        </is>
      </c>
      <c r="Q77" s="14" t="inlineStr">
        <is>
          <t>دائرة المالية</t>
        </is>
      </c>
      <c r="R77" s="14" t="n"/>
      <c r="S77" s="14" t="n"/>
      <c r="T77" s="14" t="n">
        <v>2026</v>
      </c>
      <c r="U77" s="14">
        <f>IF(
K77&lt;&gt;"",
"",
IF(
IF(I77&lt;&gt;"",I77,H77)="",
"",
IF(
ValidationDate&gt;IF(I77&lt;&gt;"",I77,H77),
"متأخر",
""
)
)
)</f>
        <v/>
      </c>
      <c r="V77" s="14">
        <f>IF(
OR(
M77&lt;&gt;"في الموعد",
NOT(ISNUMBER(K77)),
NOT(ISNUMBER(H77))
),
"",
IF(
INT(K77)&gt;INT(H77),
"متأخر",
""
)
)</f>
        <v/>
      </c>
      <c r="W77" s="14">
        <f>IF(COUNT(F77:K77)=0,"",TEXT(IF(K77&lt;&gt;"",K77,IF(I77&lt;&gt;"",I77,IF(J77&lt;&gt;"",J77,IF(H77&lt;&gt;"",H77,IF(G77&lt;&gt;"",G77,F77))))),"[$-en-US]mmm"))</f>
        <v/>
      </c>
    </row>
    <row r="78">
      <c r="A78" s="14" t="n">
        <v>206</v>
      </c>
      <c r="B78" s="14" t="n">
        <v>1333</v>
      </c>
      <c r="C78" t="inlineStr">
        <is>
          <t>تشريع توضيحي 077</t>
        </is>
      </c>
      <c r="D78" s="14" t="inlineStr">
        <is>
          <t>الاقتصاد والتنمية الاجتماعية</t>
        </is>
      </c>
      <c r="E78" s="14" t="inlineStr">
        <is>
          <t>السياسات والاستراتيجيات الاقتصادية</t>
        </is>
      </c>
      <c r="F78" s="268" t="n">
        <v>46272</v>
      </c>
      <c r="G78" s="268" t="n">
        <v>46272</v>
      </c>
      <c r="H78" s="268" t="n">
        <v>46290</v>
      </c>
      <c r="I78" s="268" t="n"/>
      <c r="J78" s="268" t="n">
        <v>46287</v>
      </c>
      <c r="K78" s="268" t="n">
        <v>46287</v>
      </c>
      <c r="L78" s="268" t="n">
        <v>46293</v>
      </c>
      <c r="M78" s="268" t="inlineStr">
        <is>
          <t>في الموعد</t>
        </is>
      </c>
      <c r="N78" s="268" t="n"/>
      <c r="O78" s="7" t="inlineStr">
        <is>
          <t>مغلق</t>
        </is>
      </c>
      <c r="P78" s="7" t="inlineStr">
        <is>
          <t>اتحادي</t>
        </is>
      </c>
      <c r="Q78" s="14" t="inlineStr">
        <is>
          <t>اللجنة العليا للتشريعات في إمارة دبي</t>
        </is>
      </c>
      <c r="R78" s="14" t="n"/>
      <c r="S78" s="14" t="n"/>
      <c r="T78" s="14" t="n">
        <v>2026</v>
      </c>
      <c r="U78" s="14">
        <f>IF(
K78&lt;&gt;"",
"",
IF(
IF(I78&lt;&gt;"",I78,H78)="",
"",
IF(
ValidationDate&gt;IF(I78&lt;&gt;"",I78,H78),
"متأخر",
""
)
)
)</f>
        <v/>
      </c>
      <c r="V78" s="14">
        <f>IF(
OR(
M78&lt;&gt;"في الموعد",
NOT(ISNUMBER(K78)),
NOT(ISNUMBER(H78))
),
"",
IF(
INT(K78)&gt;INT(H78),
"متأخر",
""
)
)</f>
        <v/>
      </c>
      <c r="W78" s="14">
        <f>IF(COUNT(F78:K78)=0,"",TEXT(IF(K78&lt;&gt;"",K78,IF(I78&lt;&gt;"",I78,IF(J78&lt;&gt;"",J78,IF(H78&lt;&gt;"",H78,IF(G78&lt;&gt;"",G78,F78))))),"[$-en-US]mmm"))</f>
        <v/>
      </c>
    </row>
    <row r="79">
      <c r="A79" s="14" t="n">
        <v>186</v>
      </c>
      <c r="B79" s="14" t="n">
        <v>1403</v>
      </c>
      <c r="C79" t="inlineStr">
        <is>
          <t>تشريع توضيحي 078</t>
        </is>
      </c>
      <c r="D79" s="14" t="inlineStr">
        <is>
          <t>الأمانة العامة للمجلس التنفيذي</t>
        </is>
      </c>
      <c r="E79" s="14" t="inlineStr">
        <is>
          <t>الشراكات والعلاقات الدولية</t>
        </is>
      </c>
      <c r="F79" s="268" t="n">
        <v>46286</v>
      </c>
      <c r="G79" s="268" t="n">
        <v>46286</v>
      </c>
      <c r="H79" s="268" t="n">
        <v>46304</v>
      </c>
      <c r="I79" s="268" t="n"/>
      <c r="J79" s="268" t="n">
        <v>46301</v>
      </c>
      <c r="K79" s="268" t="n"/>
      <c r="L79" s="268" t="n"/>
      <c r="M79" s="268" t="inlineStr">
        <is>
          <t>قيد الإجراء</t>
        </is>
      </c>
      <c r="N79" s="268" t="n"/>
      <c r="O79" s="7" t="inlineStr">
        <is>
          <t>قيد المراجعة</t>
        </is>
      </c>
      <c r="P79" s="7" t="inlineStr">
        <is>
          <t>اتحادي</t>
        </is>
      </c>
      <c r="Q79" s="14" t="inlineStr">
        <is>
          <t>اللجنة العليا للتشريعات في إمارة دبي</t>
        </is>
      </c>
      <c r="R79" s="14" t="n"/>
      <c r="S79" s="14" t="n"/>
      <c r="T79" s="14" t="n">
        <v>2026</v>
      </c>
      <c r="U79" s="14">
        <f>IF(
K79&lt;&gt;"",
"",
IF(
IF(I79&lt;&gt;"",I79,H79)="",
"",
IF(
ValidationDate&gt;IF(I79&lt;&gt;"",I79,H79),
"متأخر",
""
)
)
)</f>
        <v/>
      </c>
      <c r="V79" s="14">
        <f>IF(
OR(
M79&lt;&gt;"في الموعد",
NOT(ISNUMBER(K79)),
NOT(ISNUMBER(H79))
),
"",
IF(
INT(K79)&gt;INT(H79),
"متأخر",
""
)
)</f>
        <v/>
      </c>
      <c r="W79" s="14">
        <f>IF(COUNT(F79:K79)=0,"",TEXT(IF(K79&lt;&gt;"",K79,IF(I79&lt;&gt;"",I79,IF(J79&lt;&gt;"",J79,IF(H79&lt;&gt;"",H79,IF(G79&lt;&gt;"",G79,F79))))),"[$-en-US]mmm"))</f>
        <v/>
      </c>
    </row>
    <row r="80">
      <c r="A80" s="14" t="n">
        <v>118</v>
      </c>
      <c r="B80" s="14" t="n">
        <v>937</v>
      </c>
      <c r="C80" t="inlineStr">
        <is>
          <t>تشريع توضيحي 079</t>
        </is>
      </c>
      <c r="D80" s="14" t="inlineStr">
        <is>
          <t>الأمانة العامة للمجلس التنفيذي</t>
        </is>
      </c>
      <c r="E80" s="14" t="inlineStr">
        <is>
          <t>مكتب التدقيق الداخلي</t>
        </is>
      </c>
      <c r="F80" s="268" t="n">
        <v>46197</v>
      </c>
      <c r="G80" s="268" t="n">
        <v>46197</v>
      </c>
      <c r="H80" s="268" t="n">
        <v>46220</v>
      </c>
      <c r="I80" s="268" t="n"/>
      <c r="J80" s="268" t="n">
        <v>46217</v>
      </c>
      <c r="K80" s="268" t="n">
        <v>46219</v>
      </c>
      <c r="L80" s="268" t="n">
        <v>46223</v>
      </c>
      <c r="M80" s="268" t="inlineStr">
        <is>
          <t>في الموعد</t>
        </is>
      </c>
      <c r="N80" s="268" t="n"/>
      <c r="O80" s="7" t="inlineStr">
        <is>
          <t>مغلق</t>
        </is>
      </c>
      <c r="P80" s="7" t="inlineStr">
        <is>
          <t>محلي</t>
        </is>
      </c>
      <c r="Q80" s="14" t="inlineStr">
        <is>
          <t>جهاز الرقابة المالية</t>
        </is>
      </c>
      <c r="R80" s="14" t="n"/>
      <c r="S80" s="14" t="n"/>
      <c r="T80" s="14" t="n">
        <v>2026</v>
      </c>
      <c r="U80" s="14">
        <f>IF(
K80&lt;&gt;"",
"",
IF(
IF(I80&lt;&gt;"",I80,H80)="",
"",
IF(
ValidationDate&gt;IF(I80&lt;&gt;"",I80,H80),
"متأخر",
""
)
)
)</f>
        <v/>
      </c>
      <c r="V80" s="14">
        <f>IF(
OR(
M80&lt;&gt;"في الموعد",
NOT(ISNUMBER(K80)),
NOT(ISNUMBER(H80))
),
"",
IF(
INT(K80)&gt;INT(H80),
"متأخر",
""
)
)</f>
        <v/>
      </c>
      <c r="W80" s="14">
        <f>IF(COUNT(F80:K80)=0,"",TEXT(IF(K80&lt;&gt;"",K80,IF(I80&lt;&gt;"",I80,IF(J80&lt;&gt;"",J80,IF(H80&lt;&gt;"",H80,IF(G80&lt;&gt;"",G80,F80))))),"[$-en-US]mmm"))</f>
        <v/>
      </c>
    </row>
    <row r="81">
      <c r="A81" s="14" t="n">
        <v>43</v>
      </c>
      <c r="B81" s="14" t="n">
        <v>416</v>
      </c>
      <c r="C81" t="inlineStr">
        <is>
          <t>تشريع توضيحي 080</t>
        </is>
      </c>
      <c r="D81" s="14" t="inlineStr">
        <is>
          <t>التميز والخدمات الحكومية</t>
        </is>
      </c>
      <c r="E81" s="14" t="inlineStr">
        <is>
          <t>التميز والخدمات الحكومية</t>
        </is>
      </c>
      <c r="F81" s="268" t="n">
        <v>46097</v>
      </c>
      <c r="G81" s="268" t="n">
        <v>46098</v>
      </c>
      <c r="H81" s="268" t="n">
        <v>46108</v>
      </c>
      <c r="I81" s="268" t="n"/>
      <c r="J81" s="268" t="n">
        <v>46105</v>
      </c>
      <c r="K81" s="268" t="n">
        <v>46106</v>
      </c>
      <c r="L81" s="268" t="n">
        <v>46108</v>
      </c>
      <c r="M81" s="268" t="inlineStr">
        <is>
          <t>في الموعد</t>
        </is>
      </c>
      <c r="N81" s="268" t="n"/>
      <c r="O81" s="7" t="inlineStr">
        <is>
          <t>مغلق</t>
        </is>
      </c>
      <c r="P81" s="7" t="inlineStr">
        <is>
          <t>محلي</t>
        </is>
      </c>
      <c r="Q81" s="14" t="inlineStr">
        <is>
          <t>اللجنة العليا للتشريعات في إمارة دبي</t>
        </is>
      </c>
      <c r="R81" s="14" t="n"/>
      <c r="S81" s="14" t="n"/>
      <c r="T81" s="14" t="n">
        <v>2026</v>
      </c>
      <c r="U81" s="14">
        <f>IF(
K81&lt;&gt;"",
"",
IF(
IF(I81&lt;&gt;"",I81,H81)="",
"",
IF(
ValidationDate&gt;IF(I81&lt;&gt;"",I81,H81),
"متأخر",
""
)
)
)</f>
        <v/>
      </c>
      <c r="V81" s="14">
        <f>IF(
OR(
M81&lt;&gt;"في الموعد",
NOT(ISNUMBER(K81)),
NOT(ISNUMBER(H81))
),
"",
IF(
INT(K81)&gt;INT(H81),
"متأخر",
""
)
)</f>
        <v/>
      </c>
      <c r="W81" s="14">
        <f>IF(COUNT(F81:K81)=0,"",TEXT(IF(K81&lt;&gt;"",K81,IF(I81&lt;&gt;"",I81,IF(J81&lt;&gt;"",J81,IF(H81&lt;&gt;"",H81,IF(G81&lt;&gt;"",G81,F81))))),"[$-en-US]mmm"))</f>
        <v/>
      </c>
    </row>
    <row r="82">
      <c r="A82" s="14" t="n">
        <v>3</v>
      </c>
      <c r="B82" s="14" t="n">
        <v>38</v>
      </c>
      <c r="C82" t="inlineStr">
        <is>
          <t>تشريع توضيحي 081</t>
        </is>
      </c>
      <c r="D82" s="14" t="inlineStr">
        <is>
          <t>التنمية المستدامة</t>
        </is>
      </c>
      <c r="E82" s="14" t="inlineStr">
        <is>
          <t>السياسات والاستراتيجيات البيئية والبنية التحتية</t>
        </is>
      </c>
      <c r="F82" s="268" t="n">
        <v>46034</v>
      </c>
      <c r="G82" s="268" t="n">
        <v>46034</v>
      </c>
      <c r="H82" s="268" t="n">
        <v>46045</v>
      </c>
      <c r="I82" s="268" t="n"/>
      <c r="J82" s="268" t="n"/>
      <c r="K82" s="268" t="n">
        <v>46035</v>
      </c>
      <c r="L82" s="268" t="n">
        <v>46037</v>
      </c>
      <c r="M82" s="268" t="inlineStr">
        <is>
          <t>في الموعد</t>
        </is>
      </c>
      <c r="N82" s="268" t="n"/>
      <c r="O82" s="7" t="inlineStr">
        <is>
          <t>مغلق</t>
        </is>
      </c>
      <c r="P82" s="7" t="inlineStr">
        <is>
          <t>محلي</t>
        </is>
      </c>
      <c r="Q82" s="14" t="inlineStr">
        <is>
          <t>اللجنة العليا للتشريعات في إمارة دبي</t>
        </is>
      </c>
      <c r="R82" s="14" t="n"/>
      <c r="S82" s="14" t="n"/>
      <c r="T82" s="14" t="n">
        <v>2026</v>
      </c>
      <c r="U82" s="14">
        <f>IF(
K82&lt;&gt;"",
"",
IF(
IF(I82&lt;&gt;"",I82,H82)="",
"",
IF(
ValidationDate&gt;IF(I82&lt;&gt;"",I82,H82),
"متأخر",
""
)
)
)</f>
        <v/>
      </c>
      <c r="V82" s="14">
        <f>IF(
OR(
M82&lt;&gt;"في الموعد",
NOT(ISNUMBER(K82)),
NOT(ISNUMBER(H82))
),
"",
IF(
INT(K82)&gt;INT(H82),
"متأخر",
""
)
)</f>
        <v/>
      </c>
      <c r="W82" s="14">
        <f>IF(COUNT(F82:K82)=0,"",TEXT(IF(K82&lt;&gt;"",K82,IF(I82&lt;&gt;"",I82,IF(J82&lt;&gt;"",J82,IF(H82&lt;&gt;"",H82,IF(G82&lt;&gt;"",G82,F82))))),"[$-en-US]mmm"))</f>
        <v/>
      </c>
    </row>
    <row r="83">
      <c r="A83" s="14" t="n">
        <v>5</v>
      </c>
      <c r="B83" s="14" t="n">
        <v>111</v>
      </c>
      <c r="C83" t="inlineStr">
        <is>
          <t>تشريع توضيحي 082</t>
        </is>
      </c>
      <c r="D83" s="14" t="inlineStr">
        <is>
          <t>التنمية المستدامة</t>
        </is>
      </c>
      <c r="E83" s="14" t="inlineStr">
        <is>
          <t>السياسات والاستراتيجيات البيئية والبنية التحتية</t>
        </is>
      </c>
      <c r="F83" s="268" t="n">
        <v>46043</v>
      </c>
      <c r="G83" s="268" t="n">
        <v>46045</v>
      </c>
      <c r="H83" s="268" t="n">
        <v>46052</v>
      </c>
      <c r="I83" s="268" t="n"/>
      <c r="J83" s="268" t="n">
        <v>46050</v>
      </c>
      <c r="K83" s="268" t="n">
        <v>46050</v>
      </c>
      <c r="L83" s="268" t="n">
        <v>46052</v>
      </c>
      <c r="M83" s="268" t="inlineStr">
        <is>
          <t>في الموعد</t>
        </is>
      </c>
      <c r="N83" s="268" t="n"/>
      <c r="O83" s="7" t="inlineStr">
        <is>
          <t>مغلق</t>
        </is>
      </c>
      <c r="P83" s="7" t="inlineStr">
        <is>
          <t>اتحادي</t>
        </is>
      </c>
      <c r="Q83" s="14" t="inlineStr">
        <is>
          <t>اللجنة العليا للتشريعات في إمارة دبي</t>
        </is>
      </c>
      <c r="R83" s="14" t="n"/>
      <c r="S83" s="14" t="n"/>
      <c r="T83" s="14" t="n">
        <v>2026</v>
      </c>
      <c r="U83" s="14">
        <f>IF(
K83&lt;&gt;"",
"",
IF(
IF(I83&lt;&gt;"",I83,H83)="",
"",
IF(
ValidationDate&gt;IF(I83&lt;&gt;"",I83,H83),
"متأخر",
""
)
)
)</f>
        <v/>
      </c>
      <c r="V83" s="14">
        <f>IF(
OR(
M83&lt;&gt;"في الموعد",
NOT(ISNUMBER(K83)),
NOT(ISNUMBER(H83))
),
"",
IF(
INT(K83)&gt;INT(H83),
"متأخر",
""
)
)</f>
        <v/>
      </c>
      <c r="W83" s="14">
        <f>IF(COUNT(F83:K83)=0,"",TEXT(IF(K83&lt;&gt;"",K83,IF(I83&lt;&gt;"",I83,IF(J83&lt;&gt;"",J83,IF(H83&lt;&gt;"",H83,IF(G83&lt;&gt;"",G83,F83))))),"[$-en-US]mmm"))</f>
        <v/>
      </c>
    </row>
    <row r="84">
      <c r="A84" s="14" t="n">
        <v>6</v>
      </c>
      <c r="B84" s="14" t="n">
        <v>137</v>
      </c>
      <c r="C84" t="inlineStr">
        <is>
          <t>تشريع توضيحي 083</t>
        </is>
      </c>
      <c r="D84" s="14" t="inlineStr">
        <is>
          <t>التنمية المستدامة</t>
        </is>
      </c>
      <c r="E84" s="14" t="inlineStr">
        <is>
          <t>السياسات والاستراتيجيات البيئية والبنية التحتية</t>
        </is>
      </c>
      <c r="F84" s="268" t="n">
        <v>46050</v>
      </c>
      <c r="G84" s="268" t="n">
        <v>46050</v>
      </c>
      <c r="H84" s="268" t="n">
        <v>46066</v>
      </c>
      <c r="I84" s="268" t="n"/>
      <c r="J84" s="268" t="n">
        <v>46063</v>
      </c>
      <c r="K84" s="268" t="n">
        <v>46062</v>
      </c>
      <c r="L84" s="268" t="n">
        <v>46063</v>
      </c>
      <c r="M84" s="268" t="inlineStr">
        <is>
          <t>في الموعد</t>
        </is>
      </c>
      <c r="N84" s="268" t="n"/>
      <c r="O84" s="7" t="inlineStr">
        <is>
          <t>مغلق</t>
        </is>
      </c>
      <c r="P84" s="7" t="inlineStr">
        <is>
          <t>محلي</t>
        </is>
      </c>
      <c r="Q84" s="14" t="inlineStr">
        <is>
          <t>اللجنة العليا للتشريعات في إمارة دبي</t>
        </is>
      </c>
      <c r="R84" s="14" t="n"/>
      <c r="S84" s="14" t="n"/>
      <c r="T84" s="14" t="n">
        <v>2026</v>
      </c>
      <c r="U84" s="14">
        <f>IF(
K84&lt;&gt;"",
"",
IF(
IF(I84&lt;&gt;"",I84,H84)="",
"",
IF(
ValidationDate&gt;IF(I84&lt;&gt;"",I84,H84),
"متأخر",
""
)
)
)</f>
        <v/>
      </c>
      <c r="V84" s="14">
        <f>IF(
OR(
M84&lt;&gt;"في الموعد",
NOT(ISNUMBER(K84)),
NOT(ISNUMBER(H84))
),
"",
IF(
INT(K84)&gt;INT(H84),
"متأخر",
""
)
)</f>
        <v/>
      </c>
      <c r="W84" s="14">
        <f>IF(COUNT(F84:K84)=0,"",TEXT(IF(K84&lt;&gt;"",K84,IF(I84&lt;&gt;"",I84,IF(J84&lt;&gt;"",J84,IF(H84&lt;&gt;"",H84,IF(G84&lt;&gt;"",G84,F84))))),"[$-en-US]mmm"))</f>
        <v/>
      </c>
    </row>
    <row r="85">
      <c r="A85" s="14" t="n">
        <v>15</v>
      </c>
      <c r="B85" s="14" t="n">
        <v>179</v>
      </c>
      <c r="C85" t="inlineStr">
        <is>
          <t>تشريع توضيحي 084</t>
        </is>
      </c>
      <c r="D85" s="14" t="inlineStr">
        <is>
          <t>التنمية المستدامة</t>
        </is>
      </c>
      <c r="E85" s="14" t="inlineStr">
        <is>
          <t>السياسات والاستراتيجيات البيئية والبنية التحتية</t>
        </is>
      </c>
      <c r="F85" s="268" t="n">
        <v>46057</v>
      </c>
      <c r="G85" s="268" t="n">
        <v>46057</v>
      </c>
      <c r="H85" s="268" t="n">
        <v>46073</v>
      </c>
      <c r="I85" s="268" t="n">
        <v>46080</v>
      </c>
      <c r="J85" s="268" t="n">
        <v>46072</v>
      </c>
      <c r="K85" s="268" t="n">
        <v>46072</v>
      </c>
      <c r="L85" s="268" t="n">
        <v>46077</v>
      </c>
      <c r="M85" s="268" t="inlineStr">
        <is>
          <t>في الموعد</t>
        </is>
      </c>
      <c r="N85" s="268" t="n"/>
      <c r="O85" s="7" t="inlineStr">
        <is>
          <t>مغلق</t>
        </is>
      </c>
      <c r="P85" s="7" t="inlineStr">
        <is>
          <t>محلي</t>
        </is>
      </c>
      <c r="Q85" s="14" t="inlineStr">
        <is>
          <t>اللجنة العليا للتشريعات في إمارة دبي</t>
        </is>
      </c>
      <c r="R85" s="14" t="n"/>
      <c r="S85" s="14" t="n"/>
      <c r="T85" s="14" t="n">
        <v>2026</v>
      </c>
      <c r="U85" s="14">
        <f>IF(
K85&lt;&gt;"",
"",
IF(
IF(I85&lt;&gt;"",I85,H85)="",
"",
IF(
ValidationDate&gt;IF(I85&lt;&gt;"",I85,H85),
"متأخر",
""
)
)
)</f>
        <v/>
      </c>
      <c r="V85" s="14">
        <f>IF(
OR(
M85&lt;&gt;"في الموعد",
NOT(ISNUMBER(K85)),
NOT(ISNUMBER(H85))
),
"",
IF(
INT(K85)&gt;INT(H85),
"متأخر",
""
)
)</f>
        <v/>
      </c>
      <c r="W85" s="14">
        <f>IF(COUNT(F85:K85)=0,"",TEXT(IF(K85&lt;&gt;"",K85,IF(I85&lt;&gt;"",I85,IF(J85&lt;&gt;"",J85,IF(H85&lt;&gt;"",H85,IF(G85&lt;&gt;"",G85,F85))))),"[$-en-US]mmm"))</f>
        <v/>
      </c>
    </row>
    <row r="86">
      <c r="A86" s="14" t="n">
        <v>17</v>
      </c>
      <c r="B86" s="14" t="n">
        <v>200</v>
      </c>
      <c r="C86" t="inlineStr">
        <is>
          <t>تشريع توضيحي 085</t>
        </is>
      </c>
      <c r="D86" s="14" t="inlineStr">
        <is>
          <t>التنمية المستدامة</t>
        </is>
      </c>
      <c r="E86" s="14" t="inlineStr">
        <is>
          <t>السياسات والاستراتيجيات البيئية والبنية التحتية</t>
        </is>
      </c>
      <c r="F86" s="268" t="n">
        <v>46062</v>
      </c>
      <c r="G86" s="268" t="n">
        <v>46062</v>
      </c>
      <c r="H86" s="268" t="n">
        <v>46073</v>
      </c>
      <c r="I86" s="268" t="n"/>
      <c r="J86" s="268" t="n">
        <v>46072</v>
      </c>
      <c r="K86" s="268" t="n">
        <v>46070</v>
      </c>
      <c r="L86" s="268" t="n">
        <v>46072</v>
      </c>
      <c r="M86" s="268" t="inlineStr">
        <is>
          <t>في الموعد</t>
        </is>
      </c>
      <c r="N86" s="268" t="n"/>
      <c r="O86" s="7" t="inlineStr">
        <is>
          <t>مغلق</t>
        </is>
      </c>
      <c r="P86" s="7" t="inlineStr">
        <is>
          <t>محلي</t>
        </is>
      </c>
      <c r="Q86" s="14" t="inlineStr">
        <is>
          <t>اللجنة العليا للتشريعات في إمارة دبي</t>
        </is>
      </c>
      <c r="R86" s="14" t="n"/>
      <c r="S86" s="14" t="n"/>
      <c r="T86" s="14" t="n">
        <v>2026</v>
      </c>
      <c r="U86" s="14">
        <f>IF(
K86&lt;&gt;"",
"",
IF(
IF(I86&lt;&gt;"",I86,H86)="",
"",
IF(
ValidationDate&gt;IF(I86&lt;&gt;"",I86,H86),
"متأخر",
""
)
)
)</f>
        <v/>
      </c>
      <c r="V86" s="14">
        <f>IF(
OR(
M86&lt;&gt;"في الموعد",
NOT(ISNUMBER(K86)),
NOT(ISNUMBER(H86))
),
"",
IF(
INT(K86)&gt;INT(H86),
"متأخر",
""
)
)</f>
        <v/>
      </c>
      <c r="W86" s="14">
        <f>IF(COUNT(F86:K86)=0,"",TEXT(IF(K86&lt;&gt;"",K86,IF(I86&lt;&gt;"",I86,IF(J86&lt;&gt;"",J86,IF(H86&lt;&gt;"",H86,IF(G86&lt;&gt;"",G86,F86))))),"[$-en-US]mmm"))</f>
        <v/>
      </c>
    </row>
    <row r="87">
      <c r="A87" s="14" t="n">
        <v>18</v>
      </c>
      <c r="B87" s="14" t="n">
        <v>203</v>
      </c>
      <c r="C87" t="inlineStr">
        <is>
          <t>تشريع توضيحي 086</t>
        </is>
      </c>
      <c r="D87" s="14" t="inlineStr">
        <is>
          <t>التنمية المستدامة</t>
        </is>
      </c>
      <c r="E87" s="14" t="inlineStr">
        <is>
          <t>السياسات والاستراتيجيات البيئية والبنية التحتية</t>
        </is>
      </c>
      <c r="F87" s="268" t="n">
        <v>46062</v>
      </c>
      <c r="G87" s="268" t="n">
        <v>46063</v>
      </c>
      <c r="H87" s="268" t="n">
        <v>46083</v>
      </c>
      <c r="I87" s="268" t="n"/>
      <c r="J87" s="268" t="n">
        <v>46080</v>
      </c>
      <c r="K87" s="268" t="n">
        <v>46063</v>
      </c>
      <c r="L87" s="268" t="n">
        <v>46066</v>
      </c>
      <c r="M87" s="268" t="inlineStr">
        <is>
          <t>في الموعد</t>
        </is>
      </c>
      <c r="N87" s="268" t="n"/>
      <c r="O87" s="7" t="inlineStr">
        <is>
          <t>مغلق</t>
        </is>
      </c>
      <c r="P87" s="7" t="inlineStr">
        <is>
          <t>اتحادي</t>
        </is>
      </c>
      <c r="Q87" s="14" t="inlineStr">
        <is>
          <t>هيئة الطرق والمواصلات</t>
        </is>
      </c>
      <c r="R87" s="14" t="n"/>
      <c r="S87" s="14" t="n"/>
      <c r="T87" s="14" t="n">
        <v>2026</v>
      </c>
      <c r="U87" s="14">
        <f>IF(
K87&lt;&gt;"",
"",
IF(
IF(I87&lt;&gt;"",I87,H87)="",
"",
IF(
ValidationDate&gt;IF(I87&lt;&gt;"",I87,H87),
"متأخر",
""
)
)
)</f>
        <v/>
      </c>
      <c r="V87" s="14">
        <f>IF(
OR(
M87&lt;&gt;"في الموعد",
NOT(ISNUMBER(K87)),
NOT(ISNUMBER(H87))
),
"",
IF(
INT(K87)&gt;INT(H87),
"متأخر",
""
)
)</f>
        <v/>
      </c>
      <c r="W87" s="14">
        <f>IF(COUNT(F87:K87)=0,"",TEXT(IF(K87&lt;&gt;"",K87,IF(I87&lt;&gt;"",I87,IF(J87&lt;&gt;"",J87,IF(H87&lt;&gt;"",H87,IF(G87&lt;&gt;"",G87,F87))))),"[$-en-US]mmm"))</f>
        <v/>
      </c>
    </row>
    <row r="88">
      <c r="A88" s="14" t="n">
        <v>24</v>
      </c>
      <c r="B88" s="14" t="n">
        <v>241</v>
      </c>
      <c r="C88" t="inlineStr">
        <is>
          <t>تشريع توضيحي 087</t>
        </is>
      </c>
      <c r="D88" s="14" t="inlineStr">
        <is>
          <t>التنمية المستدامة</t>
        </is>
      </c>
      <c r="E88" s="14" t="inlineStr">
        <is>
          <t>السياسات والاستراتيجيات البيئية والبنية التحتية</t>
        </is>
      </c>
      <c r="F88" s="268" t="n">
        <v>46069</v>
      </c>
      <c r="G88" s="268" t="n">
        <v>46069</v>
      </c>
      <c r="H88" s="268" t="n">
        <v>46087</v>
      </c>
      <c r="I88" s="268" t="n"/>
      <c r="J88" s="268" t="n">
        <v>46084</v>
      </c>
      <c r="K88" s="268" t="n">
        <v>46069</v>
      </c>
      <c r="L88" s="268" t="n">
        <v>46069</v>
      </c>
      <c r="M88" s="268" t="inlineStr">
        <is>
          <t>في الموعد</t>
        </is>
      </c>
      <c r="N88" s="268" t="n"/>
      <c r="O88" s="7" t="inlineStr">
        <is>
          <t>مغلق</t>
        </is>
      </c>
      <c r="P88" s="7" t="inlineStr">
        <is>
          <t>محلي</t>
        </is>
      </c>
      <c r="Q88" s="14" t="inlineStr">
        <is>
          <t>اللجنة العليا للتشريعات في إمارة دبي</t>
        </is>
      </c>
      <c r="R88" s="14" t="n"/>
      <c r="S88" s="14" t="n"/>
      <c r="T88" s="14" t="n">
        <v>2026</v>
      </c>
      <c r="U88" s="14">
        <f>IF(
K88&lt;&gt;"",
"",
IF(
IF(I88&lt;&gt;"",I88,H88)="",
"",
IF(
ValidationDate&gt;IF(I88&lt;&gt;"",I88,H88),
"متأخر",
""
)
)
)</f>
        <v/>
      </c>
      <c r="V88" s="14">
        <f>IF(
OR(
M88&lt;&gt;"في الموعد",
NOT(ISNUMBER(K88)),
NOT(ISNUMBER(H88))
),
"",
IF(
INT(K88)&gt;INT(H88),
"متأخر",
""
)
)</f>
        <v/>
      </c>
      <c r="W88" s="14">
        <f>IF(COUNT(F88:K88)=0,"",TEXT(IF(K88&lt;&gt;"",K88,IF(I88&lt;&gt;"",I88,IF(J88&lt;&gt;"",J88,IF(H88&lt;&gt;"",H88,IF(G88&lt;&gt;"",G88,F88))))),"[$-en-US]mmm"))</f>
        <v/>
      </c>
    </row>
    <row r="89">
      <c r="A89" s="14" t="n">
        <v>26</v>
      </c>
      <c r="B89" s="14" t="n">
        <v>279</v>
      </c>
      <c r="C89" t="inlineStr">
        <is>
          <t>تشريع توضيحي 088</t>
        </is>
      </c>
      <c r="D89" s="14" t="inlineStr">
        <is>
          <t>التنمية المستدامة</t>
        </is>
      </c>
      <c r="E89" s="14" t="inlineStr">
        <is>
          <t>السياسات والاستراتيجيات البيئية والبنية التحتية</t>
        </is>
      </c>
      <c r="F89" s="268" t="n">
        <v>46072</v>
      </c>
      <c r="G89" s="268" t="n">
        <v>46072</v>
      </c>
      <c r="H89" s="268" t="n">
        <v>46094</v>
      </c>
      <c r="I89" s="268" t="n"/>
      <c r="J89" s="268" t="n">
        <v>46091</v>
      </c>
      <c r="K89" s="268" t="n">
        <v>46086</v>
      </c>
      <c r="L89" s="268" t="n">
        <v>46087</v>
      </c>
      <c r="M89" s="268" t="inlineStr">
        <is>
          <t>في الموعد</t>
        </is>
      </c>
      <c r="N89" s="268" t="n"/>
      <c r="O89" s="7" t="inlineStr">
        <is>
          <t>مغلق</t>
        </is>
      </c>
      <c r="P89" s="7" t="inlineStr">
        <is>
          <t>محلي</t>
        </is>
      </c>
      <c r="Q89" s="14" t="inlineStr">
        <is>
          <t>اللجنة العليا للتشريعات في إمارة دبي</t>
        </is>
      </c>
      <c r="R89" s="14" t="n"/>
      <c r="S89" s="14" t="n"/>
      <c r="T89" s="14" t="n">
        <v>2026</v>
      </c>
      <c r="U89" s="14">
        <f>IF(
K89&lt;&gt;"",
"",
IF(
IF(I89&lt;&gt;"",I89,H89)="",
"",
IF(
ValidationDate&gt;IF(I89&lt;&gt;"",I89,H89),
"متأخر",
""
)
)
)</f>
        <v/>
      </c>
      <c r="V89" s="14">
        <f>IF(
OR(
M89&lt;&gt;"في الموعد",
NOT(ISNUMBER(K89)),
NOT(ISNUMBER(H89))
),
"",
IF(
INT(K89)&gt;INT(H89),
"متأخر",
""
)
)</f>
        <v/>
      </c>
      <c r="W89" s="14">
        <f>IF(COUNT(F89:K89)=0,"",TEXT(IF(K89&lt;&gt;"",K89,IF(I89&lt;&gt;"",I89,IF(J89&lt;&gt;"",J89,IF(H89&lt;&gt;"",H89,IF(G89&lt;&gt;"",G89,F89))))),"[$-en-US]mmm"))</f>
        <v/>
      </c>
    </row>
    <row r="90">
      <c r="A90" s="14" t="n">
        <v>27</v>
      </c>
      <c r="B90" s="14" t="n">
        <v>280</v>
      </c>
      <c r="C90" t="inlineStr">
        <is>
          <t>تشريع توضيحي 089</t>
        </is>
      </c>
      <c r="D90" s="14" t="inlineStr">
        <is>
          <t>التنمية المستدامة</t>
        </is>
      </c>
      <c r="E90" s="14" t="inlineStr">
        <is>
          <t>السياسات والاستراتيجيات البيئية والبنية التحتية</t>
        </is>
      </c>
      <c r="F90" s="268" t="n">
        <v>46072</v>
      </c>
      <c r="G90" s="268" t="n">
        <v>46072</v>
      </c>
      <c r="H90" s="268" t="n">
        <v>46087</v>
      </c>
      <c r="I90" s="268" t="n"/>
      <c r="J90" s="268" t="n">
        <v>46084</v>
      </c>
      <c r="K90" s="268" t="n">
        <v>46080</v>
      </c>
      <c r="L90" s="268" t="n">
        <v>46083</v>
      </c>
      <c r="M90" s="268" t="inlineStr">
        <is>
          <t>في الموعد</t>
        </is>
      </c>
      <c r="N90" s="268" t="n"/>
      <c r="O90" s="7" t="inlineStr">
        <is>
          <t>مغلق</t>
        </is>
      </c>
      <c r="P90" s="7" t="inlineStr">
        <is>
          <t>محلي</t>
        </is>
      </c>
      <c r="Q90" s="14" t="inlineStr">
        <is>
          <t>اللجنة العليا للتشريعات في إمارة دبي</t>
        </is>
      </c>
      <c r="R90" s="14" t="n"/>
      <c r="S90" s="14" t="n"/>
      <c r="T90" s="14" t="n">
        <v>2026</v>
      </c>
      <c r="U90" s="14">
        <f>IF(
K90&lt;&gt;"",
"",
IF(
IF(I90&lt;&gt;"",I90,H90)="",
"",
IF(
ValidationDate&gt;IF(I90&lt;&gt;"",I90,H90),
"متأخر",
""
)
)
)</f>
        <v/>
      </c>
      <c r="V90" s="14">
        <f>IF(
OR(
M90&lt;&gt;"في الموعد",
NOT(ISNUMBER(K90)),
NOT(ISNUMBER(H90))
),
"",
IF(
INT(K90)&gt;INT(H90),
"متأخر",
""
)
)</f>
        <v/>
      </c>
      <c r="W90" s="14">
        <f>IF(COUNT(F90:K90)=0,"",TEXT(IF(K90&lt;&gt;"",K90,IF(I90&lt;&gt;"",I90,IF(J90&lt;&gt;"",J90,IF(H90&lt;&gt;"",H90,IF(G90&lt;&gt;"",G90,F90))))),"[$-en-US]mmm"))</f>
        <v/>
      </c>
    </row>
    <row r="91">
      <c r="A91" s="14" t="n">
        <v>35</v>
      </c>
      <c r="B91" s="14" t="n">
        <v>307</v>
      </c>
      <c r="C91" t="inlineStr">
        <is>
          <t>تشريع توضيحي 090</t>
        </is>
      </c>
      <c r="D91" s="14" t="inlineStr">
        <is>
          <t>التنمية المستدامة</t>
        </is>
      </c>
      <c r="E91" s="14" t="inlineStr">
        <is>
          <t>السياسات والاستراتيجيات البيئية والبنية التحتية</t>
        </is>
      </c>
      <c r="F91" s="268" t="n">
        <v>46078</v>
      </c>
      <c r="G91" s="268" t="n">
        <v>46079</v>
      </c>
      <c r="H91" s="268" t="n">
        <v>46094</v>
      </c>
      <c r="I91" s="268" t="n"/>
      <c r="J91" s="268" t="n">
        <v>46091</v>
      </c>
      <c r="K91" s="268" t="n">
        <v>46091</v>
      </c>
      <c r="L91" s="268" t="n">
        <v>46093</v>
      </c>
      <c r="M91" s="268" t="inlineStr">
        <is>
          <t>في الموعد</t>
        </is>
      </c>
      <c r="N91" s="268" t="n"/>
      <c r="O91" s="7" t="inlineStr">
        <is>
          <t>مغلق</t>
        </is>
      </c>
      <c r="P91" s="7" t="inlineStr">
        <is>
          <t>اتحادي</t>
        </is>
      </c>
      <c r="Q91" s="14" t="inlineStr">
        <is>
          <t>اللجنة العليا للتشريعات في إمارة دبي</t>
        </is>
      </c>
      <c r="R91" s="14" t="n"/>
      <c r="S91" s="14" t="n"/>
      <c r="T91" s="14" t="n">
        <v>2026</v>
      </c>
      <c r="U91" s="14">
        <f>IF(
K91&lt;&gt;"",
"",
IF(
IF(I91&lt;&gt;"",I91,H91)="",
"",
IF(
ValidationDate&gt;IF(I91&lt;&gt;"",I91,H91),
"متأخر",
""
)
)
)</f>
        <v/>
      </c>
      <c r="V91" s="14">
        <f>IF(
OR(
M91&lt;&gt;"في الموعد",
NOT(ISNUMBER(K91)),
NOT(ISNUMBER(H91))
),
"",
IF(
INT(K91)&gt;INT(H91),
"متأخر",
""
)
)</f>
        <v/>
      </c>
      <c r="W91" s="14">
        <f>IF(COUNT(F91:K91)=0,"",TEXT(IF(K91&lt;&gt;"",K91,IF(I91&lt;&gt;"",I91,IF(J91&lt;&gt;"",J91,IF(H91&lt;&gt;"",H91,IF(G91&lt;&gt;"",G91,F91))))),"[$-en-US]mmm"))</f>
        <v/>
      </c>
    </row>
    <row r="92">
      <c r="A92" s="14" t="n">
        <v>39</v>
      </c>
      <c r="B92" s="14" t="n">
        <v>364</v>
      </c>
      <c r="C92" t="inlineStr">
        <is>
          <t>تشريع توضيحي 091</t>
        </is>
      </c>
      <c r="D92" s="14" t="inlineStr">
        <is>
          <t>التنمية المستدامة</t>
        </is>
      </c>
      <c r="E92" s="14" t="inlineStr">
        <is>
          <t>السياسات والاستراتيجيات البيئية والبنية التحتية</t>
        </is>
      </c>
      <c r="F92" s="268" t="n">
        <v>46086</v>
      </c>
      <c r="G92" s="268" t="n">
        <v>46087</v>
      </c>
      <c r="H92" s="268" t="n">
        <v>46108</v>
      </c>
      <c r="I92" s="268" t="n"/>
      <c r="J92" s="268" t="n">
        <v>46105</v>
      </c>
      <c r="K92" s="268" t="n">
        <v>46097</v>
      </c>
      <c r="L92" s="268" t="n">
        <v>46098</v>
      </c>
      <c r="M92" s="268" t="inlineStr">
        <is>
          <t>في الموعد</t>
        </is>
      </c>
      <c r="N92" s="268" t="n"/>
      <c r="O92" s="7" t="inlineStr">
        <is>
          <t>مغلق</t>
        </is>
      </c>
      <c r="P92" s="7" t="inlineStr">
        <is>
          <t>محلي</t>
        </is>
      </c>
      <c r="Q92" s="14" t="inlineStr">
        <is>
          <t>اللجنة العليا للتشريعات في إمارة دبي</t>
        </is>
      </c>
      <c r="R92" s="14" t="n"/>
      <c r="S92" s="14" t="n"/>
      <c r="T92" s="14" t="n">
        <v>2026</v>
      </c>
      <c r="U92" s="14">
        <f>IF(
K92&lt;&gt;"",
"",
IF(
IF(I92&lt;&gt;"",I92,H92)="",
"",
IF(
ValidationDate&gt;IF(I92&lt;&gt;"",I92,H92),
"متأخر",
""
)
)
)</f>
        <v/>
      </c>
      <c r="V92" s="14">
        <f>IF(
OR(
M92&lt;&gt;"في الموعد",
NOT(ISNUMBER(K92)),
NOT(ISNUMBER(H92))
),
"",
IF(
INT(K92)&gt;INT(H92),
"متأخر",
""
)
)</f>
        <v/>
      </c>
      <c r="W92" s="14">
        <f>IF(COUNT(F92:K92)=0,"",TEXT(IF(K92&lt;&gt;"",K92,IF(I92&lt;&gt;"",I92,IF(J92&lt;&gt;"",J92,IF(H92&lt;&gt;"",H92,IF(G92&lt;&gt;"",G92,F92))))),"[$-en-US]mmm"))</f>
        <v/>
      </c>
    </row>
    <row r="93">
      <c r="A93" s="14" t="n">
        <v>42</v>
      </c>
      <c r="B93" s="14" t="n">
        <v>406</v>
      </c>
      <c r="C93" t="inlineStr">
        <is>
          <t>تشريع توضيحي 092</t>
        </is>
      </c>
      <c r="D93" s="14" t="inlineStr">
        <is>
          <t>التنمية المستدامة</t>
        </is>
      </c>
      <c r="E93" s="14" t="inlineStr">
        <is>
          <t>السياسات والاستراتيجيات البيئية والبنية التحتية</t>
        </is>
      </c>
      <c r="F93" s="268" t="n">
        <v>46094</v>
      </c>
      <c r="G93" s="268" t="n">
        <v>46094</v>
      </c>
      <c r="H93" s="268" t="n">
        <v>46115</v>
      </c>
      <c r="I93" s="268" t="n"/>
      <c r="J93" s="268" t="n">
        <v>46112</v>
      </c>
      <c r="K93" s="268" t="n">
        <v>46099</v>
      </c>
      <c r="L93" s="268" t="n">
        <v>46113</v>
      </c>
      <c r="M93" s="268" t="inlineStr">
        <is>
          <t>في الموعد</t>
        </is>
      </c>
      <c r="N93" s="268" t="n"/>
      <c r="O93" s="7" t="inlineStr">
        <is>
          <t>مغلق</t>
        </is>
      </c>
      <c r="P93" s="7" t="inlineStr">
        <is>
          <t>محلي</t>
        </is>
      </c>
      <c r="Q93" s="14" t="inlineStr">
        <is>
          <t>هيئة دبي للبيئة والتغير المناخي</t>
        </is>
      </c>
      <c r="R93" s="14" t="n"/>
      <c r="S93" s="14" t="n"/>
      <c r="T93" s="14" t="n">
        <v>2026</v>
      </c>
      <c r="U93" s="14">
        <f>IF(
K93&lt;&gt;"",
"",
IF(
IF(I93&lt;&gt;"",I93,H93)="",
"",
IF(
ValidationDate&gt;IF(I93&lt;&gt;"",I93,H93),
"متأخر",
""
)
)
)</f>
        <v/>
      </c>
      <c r="V93" s="14">
        <f>IF(
OR(
M93&lt;&gt;"في الموعد",
NOT(ISNUMBER(K93)),
NOT(ISNUMBER(H93))
),
"",
IF(
INT(K93)&gt;INT(H93),
"متأخر",
""
)
)</f>
        <v/>
      </c>
      <c r="W93" s="14">
        <f>IF(COUNT(F93:K93)=0,"",TEXT(IF(K93&lt;&gt;"",K93,IF(I93&lt;&gt;"",I93,IF(J93&lt;&gt;"",J93,IF(H93&lt;&gt;"",H93,IF(G93&lt;&gt;"",G93,F93))))),"[$-en-US]mmm"))</f>
        <v/>
      </c>
    </row>
    <row r="94">
      <c r="A94" s="14" t="n">
        <v>53</v>
      </c>
      <c r="B94" s="14" t="n">
        <v>529</v>
      </c>
      <c r="C94" t="inlineStr">
        <is>
          <t>تشريع توضيحي 093</t>
        </is>
      </c>
      <c r="D94" s="14" t="inlineStr">
        <is>
          <t>التنمية المستدامة</t>
        </is>
      </c>
      <c r="E94" s="14" t="inlineStr">
        <is>
          <t>السياسات والاستراتيجيات البيئية والبنية التحتية</t>
        </is>
      </c>
      <c r="F94" s="268" t="n">
        <v>46121</v>
      </c>
      <c r="G94" s="268" t="n">
        <v>46121</v>
      </c>
      <c r="H94" s="268" t="n">
        <v>46129</v>
      </c>
      <c r="I94" s="268" t="n"/>
      <c r="J94" s="268" t="n">
        <v>46127</v>
      </c>
      <c r="K94" s="268" t="n">
        <v>46126</v>
      </c>
      <c r="L94" s="268" t="n">
        <v>46127</v>
      </c>
      <c r="M94" s="268" t="inlineStr">
        <is>
          <t>في الموعد</t>
        </is>
      </c>
      <c r="N94" s="268" t="n"/>
      <c r="O94" s="7" t="inlineStr">
        <is>
          <t>مغلق</t>
        </is>
      </c>
      <c r="P94" s="7" t="inlineStr">
        <is>
          <t>محلي</t>
        </is>
      </c>
      <c r="Q94" s="14" t="inlineStr">
        <is>
          <t>اللجنة العليا للتشريعات في إمارة دبي</t>
        </is>
      </c>
      <c r="R94" s="14" t="n"/>
      <c r="S94" s="14" t="n"/>
      <c r="T94" s="14" t="n">
        <v>2026</v>
      </c>
      <c r="U94" s="14">
        <f>IF(
K94&lt;&gt;"",
"",
IF(
IF(I94&lt;&gt;"",I94,H94)="",
"",
IF(
ValidationDate&gt;IF(I94&lt;&gt;"",I94,H94),
"متأخر",
""
)
)
)</f>
        <v/>
      </c>
      <c r="V94" s="14">
        <f>IF(
OR(
M94&lt;&gt;"في الموعد",
NOT(ISNUMBER(K94)),
NOT(ISNUMBER(H94))
),
"",
IF(
INT(K94)&gt;INT(H94),
"متأخر",
""
)
)</f>
        <v/>
      </c>
      <c r="W94" s="14">
        <f>IF(COUNT(F94:K94)=0,"",TEXT(IF(K94&lt;&gt;"",K94,IF(I94&lt;&gt;"",I94,IF(J94&lt;&gt;"",J94,IF(H94&lt;&gt;"",H94,IF(G94&lt;&gt;"",G94,F94))))),"[$-en-US]mmm"))</f>
        <v/>
      </c>
    </row>
    <row r="95">
      <c r="A95" s="14" t="n">
        <v>59</v>
      </c>
      <c r="B95" s="14" t="n">
        <v>553</v>
      </c>
      <c r="C95" t="inlineStr">
        <is>
          <t>تشريع توضيحي 094</t>
        </is>
      </c>
      <c r="D95" s="14" t="inlineStr">
        <is>
          <t>التنمية المستدامة</t>
        </is>
      </c>
      <c r="E95" s="14" t="inlineStr">
        <is>
          <t>السياسات والاستراتيجيات البيئية والبنية التحتية</t>
        </is>
      </c>
      <c r="F95" s="268" t="n">
        <v>46127</v>
      </c>
      <c r="G95" s="268" t="n">
        <v>46127</v>
      </c>
      <c r="H95" s="268" t="n">
        <v>46136</v>
      </c>
      <c r="I95" s="268" t="n"/>
      <c r="J95" s="268" t="n">
        <v>46133</v>
      </c>
      <c r="K95" s="268" t="n">
        <v>46132</v>
      </c>
      <c r="L95" s="268" t="n">
        <v>46133</v>
      </c>
      <c r="M95" s="268" t="inlineStr">
        <is>
          <t>في الموعد</t>
        </is>
      </c>
      <c r="N95" s="268" t="n"/>
      <c r="O95" s="7" t="inlineStr">
        <is>
          <t>مغلق</t>
        </is>
      </c>
      <c r="P95" s="7" t="inlineStr">
        <is>
          <t>محلي</t>
        </is>
      </c>
      <c r="Q95" s="14" t="inlineStr">
        <is>
          <t>اللجنة العليا للتشريعات في إمارة دبي</t>
        </is>
      </c>
      <c r="R95" s="14" t="n"/>
      <c r="S95" s="14" t="n"/>
      <c r="T95" s="14" t="n">
        <v>2026</v>
      </c>
      <c r="U95" s="14">
        <f>IF(
K95&lt;&gt;"",
"",
IF(
IF(I95&lt;&gt;"",I95,H95)="",
"",
IF(
ValidationDate&gt;IF(I95&lt;&gt;"",I95,H95),
"متأخر",
""
)
)
)</f>
        <v/>
      </c>
      <c r="V95" s="14">
        <f>IF(
OR(
M95&lt;&gt;"في الموعد",
NOT(ISNUMBER(K95)),
NOT(ISNUMBER(H95))
),
"",
IF(
INT(K95)&gt;INT(H95),
"متأخر",
""
)
)</f>
        <v/>
      </c>
      <c r="W95" s="14">
        <f>IF(COUNT(F95:K95)=0,"",TEXT(IF(K95&lt;&gt;"",K95,IF(I95&lt;&gt;"",I95,IF(J95&lt;&gt;"",J95,IF(H95&lt;&gt;"",H95,IF(G95&lt;&gt;"",G95,F95))))),"[$-en-US]mmm"))</f>
        <v/>
      </c>
    </row>
    <row r="96">
      <c r="A96" s="14" t="n">
        <v>68</v>
      </c>
      <c r="B96" s="14" t="n">
        <v>611</v>
      </c>
      <c r="C96" t="inlineStr">
        <is>
          <t>تشريع توضيحي 095</t>
        </is>
      </c>
      <c r="D96" s="14" t="inlineStr">
        <is>
          <t>التنمية المستدامة</t>
        </is>
      </c>
      <c r="E96" s="14" t="inlineStr">
        <is>
          <t>السياسات والاستراتيجيات البيئية والبنية التحتية</t>
        </is>
      </c>
      <c r="F96" s="268" t="n">
        <v>46139</v>
      </c>
      <c r="G96" s="268" t="n">
        <v>46139</v>
      </c>
      <c r="H96" s="268" t="n">
        <v>46164</v>
      </c>
      <c r="I96" s="268" t="n"/>
      <c r="J96" s="268" t="n">
        <v>46161</v>
      </c>
      <c r="K96" s="268" t="n">
        <v>46157</v>
      </c>
      <c r="L96" s="268" t="n">
        <v>46162</v>
      </c>
      <c r="M96" s="268" t="inlineStr">
        <is>
          <t>في الموعد</t>
        </is>
      </c>
      <c r="N96" s="268" t="n"/>
      <c r="O96" s="7" t="inlineStr">
        <is>
          <t>مغلق</t>
        </is>
      </c>
      <c r="P96" s="7" t="inlineStr">
        <is>
          <t>محلي</t>
        </is>
      </c>
      <c r="Q96" s="14" t="inlineStr">
        <is>
          <t>هيئة الطرق والمواصلات</t>
        </is>
      </c>
      <c r="R96" s="14" t="n"/>
      <c r="S96" s="14" t="n"/>
      <c r="T96" s="14" t="n">
        <v>2026</v>
      </c>
      <c r="U96" s="14">
        <f>IF(
K96&lt;&gt;"",
"",
IF(
IF(I96&lt;&gt;"",I96,H96)="",
"",
IF(
ValidationDate&gt;IF(I96&lt;&gt;"",I96,H96),
"متأخر",
""
)
)
)</f>
        <v/>
      </c>
      <c r="V96" s="14">
        <f>IF(
OR(
M96&lt;&gt;"في الموعد",
NOT(ISNUMBER(K96)),
NOT(ISNUMBER(H96))
),
"",
IF(
INT(K96)&gt;INT(H96),
"متأخر",
""
)
)</f>
        <v/>
      </c>
      <c r="W96" s="14">
        <f>IF(COUNT(F96:K96)=0,"",TEXT(IF(K96&lt;&gt;"",K96,IF(I96&lt;&gt;"",I96,IF(J96&lt;&gt;"",J96,IF(H96&lt;&gt;"",H96,IF(G96&lt;&gt;"",G96,F96))))),"[$-en-US]mmm"))</f>
        <v/>
      </c>
    </row>
    <row r="97">
      <c r="A97" s="14" t="n">
        <v>78</v>
      </c>
      <c r="B97" s="14" t="n">
        <v>670</v>
      </c>
      <c r="C97" t="inlineStr">
        <is>
          <t>تشريع توضيحي 096</t>
        </is>
      </c>
      <c r="D97" s="14" t="inlineStr">
        <is>
          <t>التنمية المستدامة</t>
        </is>
      </c>
      <c r="E97" s="14" t="inlineStr">
        <is>
          <t>السياسات والاستراتيجيات البيئية والبنية التحتية</t>
        </is>
      </c>
      <c r="F97" s="268" t="n">
        <v>46146</v>
      </c>
      <c r="G97" s="268" t="n">
        <v>46146</v>
      </c>
      <c r="H97" s="268" t="n">
        <v>46164</v>
      </c>
      <c r="I97" s="268" t="n"/>
      <c r="J97" s="268" t="n">
        <v>46161</v>
      </c>
      <c r="K97" s="268" t="n">
        <v>46161</v>
      </c>
      <c r="L97" s="268" t="n">
        <v>46162</v>
      </c>
      <c r="M97" s="268" t="inlineStr">
        <is>
          <t>في الموعد</t>
        </is>
      </c>
      <c r="N97" s="268" t="n"/>
      <c r="O97" s="7" t="inlineStr">
        <is>
          <t>مغلق</t>
        </is>
      </c>
      <c r="P97" s="7" t="inlineStr">
        <is>
          <t>محلي</t>
        </is>
      </c>
      <c r="Q97" s="14" t="inlineStr">
        <is>
          <t>اللجنة العليا للتشريعات في إمارة دبي</t>
        </is>
      </c>
      <c r="R97" s="14" t="n"/>
      <c r="S97" s="14" t="n"/>
      <c r="T97" s="14" t="n">
        <v>2026</v>
      </c>
      <c r="U97" s="14">
        <f>IF(
K97&lt;&gt;"",
"",
IF(
IF(I97&lt;&gt;"",I97,H97)="",
"",
IF(
ValidationDate&gt;IF(I97&lt;&gt;"",I97,H97),
"متأخر",
""
)
)
)</f>
        <v/>
      </c>
      <c r="V97" s="14">
        <f>IF(
OR(
M97&lt;&gt;"في الموعد",
NOT(ISNUMBER(K97)),
NOT(ISNUMBER(H97))
),
"",
IF(
INT(K97)&gt;INT(H97),
"متأخر",
""
)
)</f>
        <v/>
      </c>
      <c r="W97" s="14">
        <f>IF(COUNT(F97:K97)=0,"",TEXT(IF(K97&lt;&gt;"",K97,IF(I97&lt;&gt;"",I97,IF(J97&lt;&gt;"",J97,IF(H97&lt;&gt;"",H97,IF(G97&lt;&gt;"",G97,F97))))),"[$-en-US]mmm"))</f>
        <v/>
      </c>
    </row>
    <row r="98">
      <c r="A98" s="14" t="n">
        <v>80</v>
      </c>
      <c r="B98" s="14" t="n">
        <v>674</v>
      </c>
      <c r="C98" t="inlineStr">
        <is>
          <t>تشريع توضيحي 097</t>
        </is>
      </c>
      <c r="D98" s="14" t="inlineStr">
        <is>
          <t>التنمية المستدامة</t>
        </is>
      </c>
      <c r="E98" s="14" t="inlineStr">
        <is>
          <t>السياسات والاستراتيجيات البيئية والبنية التحتية</t>
        </is>
      </c>
      <c r="F98" s="268" t="n">
        <v>46146</v>
      </c>
      <c r="G98" s="268" t="n">
        <v>46146</v>
      </c>
      <c r="H98" s="268" t="n">
        <v>46157</v>
      </c>
      <c r="I98" s="268" t="n"/>
      <c r="J98" s="268" t="n">
        <v>46154</v>
      </c>
      <c r="K98" s="268" t="n">
        <v>46154</v>
      </c>
      <c r="L98" s="268" t="n">
        <v>46163</v>
      </c>
      <c r="M98" s="268" t="inlineStr">
        <is>
          <t>في الموعد</t>
        </is>
      </c>
      <c r="N98" s="268" t="n"/>
      <c r="O98" s="7" t="inlineStr">
        <is>
          <t>مغلق</t>
        </is>
      </c>
      <c r="P98" s="7" t="inlineStr">
        <is>
          <t>محلي</t>
        </is>
      </c>
      <c r="Q98" s="14" t="inlineStr">
        <is>
          <t>اللجنة العليا للتشريعات في إمارة دبي</t>
        </is>
      </c>
      <c r="R98" s="14" t="n"/>
      <c r="S98" s="14" t="n"/>
      <c r="T98" s="14" t="n">
        <v>2026</v>
      </c>
      <c r="U98" s="14">
        <f>IF(
   K98&lt;&gt;"",
   "",
   IF(
      IF(I98&lt;&gt;"",I98,H98)="",
      "",
      IF(
         ValidationDate&gt;IF(I98&lt;&gt;"",I98,H98),
         "متأخر",
         ""
      )
   )
)</f>
        <v/>
      </c>
      <c r="V98" s="14">
        <f>IF(
OR(
M98&lt;&gt;"في الموعد",
NOT(ISNUMBER(K98)),
NOT(ISNUMBER(H98))
),
"",
IF(
INT(K98)&gt;INT(H98),
"متأخر",
""
)
)</f>
        <v/>
      </c>
      <c r="W98" s="14">
        <f>IF(COUNT(F98:K98)=0,"",TEXT(IF(K98&lt;&gt;"",K98,IF(I98&lt;&gt;"",I98,IF(J98&lt;&gt;"",J98,IF(H98&lt;&gt;"",H98,IF(G98&lt;&gt;"",G98,F98))))),"[$-en-US]mmm"))</f>
        <v/>
      </c>
    </row>
    <row r="99">
      <c r="A99" s="14" t="n">
        <v>85</v>
      </c>
      <c r="B99" s="14" t="n">
        <v>692</v>
      </c>
      <c r="C99" t="inlineStr">
        <is>
          <t>تشريع توضيحي 098</t>
        </is>
      </c>
      <c r="D99" s="14" t="inlineStr">
        <is>
          <t>التنمية المستدامة</t>
        </is>
      </c>
      <c r="E99" s="14" t="inlineStr">
        <is>
          <t>السياسات والاستراتيجيات البيئية والبنية التحتية</t>
        </is>
      </c>
      <c r="F99" s="268" t="n">
        <v>46147</v>
      </c>
      <c r="G99" s="268" t="n">
        <v>46147</v>
      </c>
      <c r="H99" s="268" t="n">
        <v>46150</v>
      </c>
      <c r="I99" s="268" t="n"/>
      <c r="J99" s="268" t="n">
        <v>46153</v>
      </c>
      <c r="K99" s="268" t="n">
        <v>46149</v>
      </c>
      <c r="L99" s="268" t="n">
        <v>46149</v>
      </c>
      <c r="M99" s="268" t="inlineStr">
        <is>
          <t>في الموعد</t>
        </is>
      </c>
      <c r="N99" s="268" t="n"/>
      <c r="O99" s="7" t="inlineStr">
        <is>
          <t>مغلق</t>
        </is>
      </c>
      <c r="P99" s="7" t="inlineStr">
        <is>
          <t>محلي</t>
        </is>
      </c>
      <c r="Q99" s="14" t="inlineStr">
        <is>
          <t>اللجنة العليا للتشريعات في إمارة دبي</t>
        </is>
      </c>
      <c r="R99" s="14" t="n"/>
      <c r="S99" s="14" t="n"/>
      <c r="T99" s="14" t="n">
        <v>2026</v>
      </c>
      <c r="U99" s="14">
        <f>IF(
K99&lt;&gt;"",
"",
IF(
IF(I99&lt;&gt;"",I99,H99)="",
"",
IF(
ValidationDate&gt;IF(I99&lt;&gt;"",I99,H99),
"متأخر",
""
)
)
)</f>
        <v/>
      </c>
      <c r="V99" s="14">
        <f>IF(
OR(
M99&lt;&gt;"في الموعد",
NOT(ISNUMBER(K99)),
NOT(ISNUMBER(H99))
),
"",
IF(
INT(K99)&gt;INT(H99),
"متأخر",
""
)
)</f>
        <v/>
      </c>
      <c r="W99" s="14">
        <f>IF(COUNT(F99:K99)=0,"",TEXT(IF(K99&lt;&gt;"",K99,IF(I99&lt;&gt;"",I99,IF(J99&lt;&gt;"",J99,IF(H99&lt;&gt;"",H99,IF(G99&lt;&gt;"",G99,F99))))),"[$-en-US]mmm"))</f>
        <v/>
      </c>
    </row>
    <row r="100">
      <c r="A100" s="14" t="n">
        <v>103</v>
      </c>
      <c r="B100" s="14" t="n">
        <v>807</v>
      </c>
      <c r="C100" t="inlineStr">
        <is>
          <t>تشريع توضيحي 099</t>
        </is>
      </c>
      <c r="D100" s="14" t="inlineStr">
        <is>
          <t>التنمية المستدامة</t>
        </is>
      </c>
      <c r="E100" s="14" t="inlineStr">
        <is>
          <t>السياسات والاستراتيجيات البيئية والبنية التحتية</t>
        </is>
      </c>
      <c r="F100" s="268" t="n">
        <v>46174</v>
      </c>
      <c r="G100" s="268" t="n">
        <v>46174</v>
      </c>
      <c r="H100" s="268" t="n">
        <v>46185</v>
      </c>
      <c r="I100" s="268" t="n"/>
      <c r="J100" s="268" t="n">
        <v>46182</v>
      </c>
      <c r="K100" s="268" t="n">
        <v>46181</v>
      </c>
      <c r="L100" s="268" t="n">
        <v>46182</v>
      </c>
      <c r="M100" s="268" t="inlineStr">
        <is>
          <t>في الموعد</t>
        </is>
      </c>
      <c r="N100" s="268" t="n"/>
      <c r="O100" s="7" t="inlineStr">
        <is>
          <t>مغلق</t>
        </is>
      </c>
      <c r="P100" s="7" t="inlineStr">
        <is>
          <t>محلي</t>
        </is>
      </c>
      <c r="Q100" s="14" t="inlineStr">
        <is>
          <t>اللجنة العليا للتشريعات في إمارة دبي</t>
        </is>
      </c>
      <c r="R100" s="14" t="n"/>
      <c r="S100" s="14" t="n"/>
      <c r="T100" s="14" t="n">
        <v>2026</v>
      </c>
      <c r="U100" s="14">
        <f>IF(
K100&lt;&gt;"",
"",
IF(
IF(I100&lt;&gt;"",I100,H100)="",
"",
IF(
ValidationDate&gt;IF(I100&lt;&gt;"",I100,H100),
"متأخر",
""
)
)
)</f>
        <v/>
      </c>
      <c r="V100" s="14">
        <f>IF(
OR(
M100&lt;&gt;"في الموعد",
NOT(ISNUMBER(K100)),
NOT(ISNUMBER(H100))
),
"",
IF(
INT(K100)&gt;INT(H100),
"متأخر",
""
)
)</f>
        <v/>
      </c>
      <c r="W100" s="14">
        <f>IF(COUNT(F100:K100)=0,"",TEXT(IF(K100&lt;&gt;"",K100,IF(I100&lt;&gt;"",I100,IF(J100&lt;&gt;"",J100,IF(H100&lt;&gt;"",H100,IF(G100&lt;&gt;"",G100,F100))))),"[$-en-US]mmm"))</f>
        <v/>
      </c>
    </row>
    <row r="101">
      <c r="A101" s="14" t="n">
        <v>105</v>
      </c>
      <c r="B101" s="14" t="n">
        <v>853</v>
      </c>
      <c r="C101" t="inlineStr">
        <is>
          <t>تشريع توضيحي 100</t>
        </is>
      </c>
      <c r="D101" s="14" t="inlineStr">
        <is>
          <t>التنمية المستدامة</t>
        </is>
      </c>
      <c r="E101" s="14" t="inlineStr">
        <is>
          <t>السياسات والاستراتيجيات البيئية والبنية التحتية</t>
        </is>
      </c>
      <c r="F101" s="268" t="n">
        <v>46178</v>
      </c>
      <c r="G101" s="268" t="n">
        <v>46178</v>
      </c>
      <c r="H101" s="268" t="n">
        <v>46199</v>
      </c>
      <c r="I101" s="268" t="n"/>
      <c r="J101" s="268" t="n">
        <v>46196</v>
      </c>
      <c r="K101" s="268" t="n">
        <v>46192</v>
      </c>
      <c r="L101" s="268" t="n">
        <v>46196</v>
      </c>
      <c r="M101" s="268" t="inlineStr">
        <is>
          <t>في الموعد</t>
        </is>
      </c>
      <c r="N101" s="268" t="n"/>
      <c r="O101" s="7" t="inlineStr">
        <is>
          <t>مغلق</t>
        </is>
      </c>
      <c r="P101" s="7" t="inlineStr">
        <is>
          <t>محلي</t>
        </is>
      </c>
      <c r="Q101" s="14" t="inlineStr">
        <is>
          <t>هيئة الطرق والمواصلات</t>
        </is>
      </c>
      <c r="R101" s="14" t="n"/>
      <c r="S101" s="14" t="n"/>
      <c r="T101" s="14" t="n">
        <v>2026</v>
      </c>
      <c r="U101" s="14">
        <f>IF(
K101&lt;&gt;"",
"",
IF(
IF(I101&lt;&gt;"",I101,H101)="",
"",
IF(
ValidationDate&gt;IF(I101&lt;&gt;"",I101,H101),
"متأخر",
""
)
)
)</f>
        <v/>
      </c>
      <c r="V101" s="14">
        <f>IF(
OR(
M101&lt;&gt;"في الموعد",
NOT(ISNUMBER(K101)),
NOT(ISNUMBER(H101))
),
"",
IF(
INT(K101)&gt;INT(H101),
"متأخر",
""
)
)</f>
        <v/>
      </c>
      <c r="W101" s="14">
        <f>IF(COUNT(F101:K101)=0,"",TEXT(IF(K101&lt;&gt;"",K101,IF(I101&lt;&gt;"",I101,IF(J101&lt;&gt;"",J101,IF(H101&lt;&gt;"",H101,IF(G101&lt;&gt;"",G101,F101))))),"[$-en-US]mmm"))</f>
        <v/>
      </c>
    </row>
    <row r="102">
      <c r="A102" s="14" t="n">
        <v>111</v>
      </c>
      <c r="B102" s="14" t="n">
        <v>886</v>
      </c>
      <c r="C102" t="inlineStr">
        <is>
          <t>تشريع توضيحي 101</t>
        </is>
      </c>
      <c r="D102" s="14" t="inlineStr">
        <is>
          <t>التنمية المستدامة</t>
        </is>
      </c>
      <c r="E102" s="14" t="inlineStr">
        <is>
          <t>السياسات والاستراتيجيات البيئية والبنية التحتية</t>
        </is>
      </c>
      <c r="F102" s="268" t="n">
        <v>46184</v>
      </c>
      <c r="G102" s="268" t="n">
        <v>46184</v>
      </c>
      <c r="H102" s="268" t="n">
        <v>46206</v>
      </c>
      <c r="I102" s="268" t="n"/>
      <c r="J102" s="268" t="n">
        <v>46203</v>
      </c>
      <c r="K102" s="268" t="n">
        <v>46199</v>
      </c>
      <c r="L102" s="268" t="n">
        <v>46202</v>
      </c>
      <c r="M102" s="268" t="inlineStr">
        <is>
          <t>في الموعد</t>
        </is>
      </c>
      <c r="N102" s="268" t="n"/>
      <c r="O102" s="7" t="inlineStr">
        <is>
          <t>مغلق</t>
        </is>
      </c>
      <c r="P102" s="7" t="inlineStr">
        <is>
          <t>محلي</t>
        </is>
      </c>
      <c r="Q102" s="14" t="inlineStr">
        <is>
          <t>اللجنة العليا للتشريعات في إمارة دبي</t>
        </is>
      </c>
      <c r="R102" s="14" t="n"/>
      <c r="S102" s="14" t="n"/>
      <c r="T102" s="14" t="n">
        <v>2026</v>
      </c>
      <c r="U102" s="14">
        <f>IF(
K102&lt;&gt;"",
"",
IF(
IF(I102&lt;&gt;"",I102,H102)="",
"",
IF(
ValidationDate&gt;IF(I102&lt;&gt;"",I102,H102),
"متأخر",
""
)
)
)</f>
        <v/>
      </c>
      <c r="V102" s="14">
        <f>IF(
OR(
M102&lt;&gt;"في الموعد",
NOT(ISNUMBER(K102)),
NOT(ISNUMBER(H102))
),
"",
IF(
INT(K102)&gt;INT(H102),
"متأخر",
""
)
)</f>
        <v/>
      </c>
      <c r="W102" s="14">
        <f>IF(COUNT(F102:K102)=0,"",TEXT(IF(K102&lt;&gt;"",K102,IF(I102&lt;&gt;"",I102,IF(J102&lt;&gt;"",J102,IF(H102&lt;&gt;"",H102,IF(G102&lt;&gt;"",G102,F102))))),"[$-en-US]mmm"))</f>
        <v/>
      </c>
    </row>
    <row r="103">
      <c r="A103" s="14" t="n">
        <v>126</v>
      </c>
      <c r="B103" s="14" t="n">
        <v>1003</v>
      </c>
      <c r="C103" t="inlineStr">
        <is>
          <t>تشريع توضيحي 102</t>
        </is>
      </c>
      <c r="D103" s="14" t="inlineStr">
        <is>
          <t>التنمية المستدامة</t>
        </is>
      </c>
      <c r="E103" s="14" t="inlineStr">
        <is>
          <t>السياسات والاستراتيجيات البيئية والبنية التحتية</t>
        </is>
      </c>
      <c r="F103" s="268" t="n">
        <v>46209</v>
      </c>
      <c r="G103" s="268" t="n">
        <v>46209</v>
      </c>
      <c r="H103" s="268" t="n">
        <v>46227</v>
      </c>
      <c r="I103" s="268" t="n"/>
      <c r="J103" s="268" t="n">
        <v>46224</v>
      </c>
      <c r="K103" s="268" t="n">
        <v>46219</v>
      </c>
      <c r="L103" s="268" t="n">
        <v>46223</v>
      </c>
      <c r="M103" s="268" t="inlineStr">
        <is>
          <t>في الموعد</t>
        </is>
      </c>
      <c r="N103" s="268" t="n"/>
      <c r="O103" s="7" t="inlineStr">
        <is>
          <t>مغلق</t>
        </is>
      </c>
      <c r="P103" s="7" t="inlineStr">
        <is>
          <t>محلي</t>
        </is>
      </c>
      <c r="Q103" s="14" t="inlineStr">
        <is>
          <t>هيئة الطرق والمواصلات</t>
        </is>
      </c>
      <c r="R103" s="14" t="n"/>
      <c r="S103" s="14" t="n"/>
      <c r="T103" s="14" t="n">
        <v>2026</v>
      </c>
      <c r="U103" s="14">
        <f>IF(
K103&lt;&gt;"",
"",
IF(
IF(I103&lt;&gt;"",I103,H103)="",
"",
IF(
ValidationDate&gt;IF(I103&lt;&gt;"",I103,H103),
"متأخر",
""
)
)
)</f>
        <v/>
      </c>
      <c r="V103" s="14">
        <f>IF(
OR(
M103&lt;&gt;"في الموعد",
NOT(ISNUMBER(K103)),
NOT(ISNUMBER(H103))
),
"",
IF(
INT(K103)&gt;INT(H103),
"متأخر",
""
)
)</f>
        <v/>
      </c>
      <c r="W103" s="14">
        <f>IF(COUNT(F103:K103)=0,"",TEXT(IF(K103&lt;&gt;"",K103,IF(I103&lt;&gt;"",I103,IF(J103&lt;&gt;"",J103,IF(H103&lt;&gt;"",H103,IF(G103&lt;&gt;"",G103,F103))))),"[$-en-US]mmm"))</f>
        <v/>
      </c>
    </row>
    <row r="104">
      <c r="A104" s="14" t="n">
        <v>139</v>
      </c>
      <c r="B104" s="14" t="n">
        <v>1107</v>
      </c>
      <c r="C104" t="inlineStr">
        <is>
          <t>تشريع توضيحي 103</t>
        </is>
      </c>
      <c r="D104" s="14" t="inlineStr">
        <is>
          <t>التنمية المستدامة</t>
        </is>
      </c>
      <c r="E104" s="14" t="inlineStr">
        <is>
          <t>السياسات والاستراتيجيات البيئية والبنية التحتية</t>
        </is>
      </c>
      <c r="F104" s="268" t="n">
        <v>46224</v>
      </c>
      <c r="G104" s="268" t="n">
        <v>46224</v>
      </c>
      <c r="H104" s="268" t="n">
        <v>46234</v>
      </c>
      <c r="I104" s="268" t="n"/>
      <c r="J104" s="268" t="n">
        <v>46231</v>
      </c>
      <c r="K104" s="268" t="n">
        <v>46231</v>
      </c>
      <c r="L104" s="268" t="n">
        <v>46232</v>
      </c>
      <c r="M104" s="268" t="inlineStr">
        <is>
          <t>في الموعد</t>
        </is>
      </c>
      <c r="N104" s="268" t="n"/>
      <c r="O104" s="7" t="inlineStr">
        <is>
          <t>مغلق</t>
        </is>
      </c>
      <c r="P104" s="7" t="inlineStr">
        <is>
          <t>محلي</t>
        </is>
      </c>
      <c r="Q104" s="14" t="inlineStr">
        <is>
          <t>اللجنة العليا للتشريعات في إمارة دبي</t>
        </is>
      </c>
      <c r="R104" s="14" t="n"/>
      <c r="S104" s="14" t="n"/>
      <c r="T104" s="14" t="n">
        <v>2026</v>
      </c>
      <c r="U104" s="14">
        <f>IF(
K104&lt;&gt;"",
"",
IF(
IF(I104&lt;&gt;"",I104,H104)="",
"",
IF(
ValidationDate&gt;IF(I104&lt;&gt;"",I104,H104),
"متأخر",
""
)
)
)</f>
        <v/>
      </c>
      <c r="V104" s="14">
        <f>IF(
OR(
M104&lt;&gt;"في الموعد",
NOT(ISNUMBER(K104)),
NOT(ISNUMBER(H104))
),
"",
IF(
INT(K104)&gt;INT(H104),
"متأخر",
""
)
)</f>
        <v/>
      </c>
      <c r="W104" s="14">
        <f>IF(COUNT(F104:K104)=0,"",TEXT(IF(K104&lt;&gt;"",K104,IF(I104&lt;&gt;"",I104,IF(J104&lt;&gt;"",J104,IF(H104&lt;&gt;"",H104,IF(G104&lt;&gt;"",G104,F104))))),"[$-en-US]mmm"))</f>
        <v/>
      </c>
    </row>
    <row r="105">
      <c r="A105" s="14" t="n">
        <v>141</v>
      </c>
      <c r="B105" s="14" t="n">
        <v>1130</v>
      </c>
      <c r="C105" t="inlineStr">
        <is>
          <t>تشريع توضيحي 104</t>
        </is>
      </c>
      <c r="D105" s="14" t="inlineStr">
        <is>
          <t>التنمية المستدامة</t>
        </is>
      </c>
      <c r="E105" s="14" t="inlineStr">
        <is>
          <t>السياسات والاستراتيجيات البيئية والبنية التحتية</t>
        </is>
      </c>
      <c r="F105" s="268" t="n">
        <v>46226</v>
      </c>
      <c r="G105" s="268" t="n">
        <v>46226</v>
      </c>
      <c r="H105" s="268" t="n">
        <v>46241</v>
      </c>
      <c r="I105" s="268" t="n"/>
      <c r="J105" s="268" t="n">
        <v>46238</v>
      </c>
      <c r="K105" s="268" t="n">
        <v>46219</v>
      </c>
      <c r="L105" s="268" t="n">
        <v>46233</v>
      </c>
      <c r="M105" s="268" t="inlineStr">
        <is>
          <t>في الموعد</t>
        </is>
      </c>
      <c r="N105" s="268" t="n"/>
      <c r="O105" s="7" t="inlineStr">
        <is>
          <t>مغلق</t>
        </is>
      </c>
      <c r="P105" s="7" t="inlineStr">
        <is>
          <t>محلي</t>
        </is>
      </c>
      <c r="Q105" s="14" t="inlineStr">
        <is>
          <t>هيئة الطرق والمواصلات</t>
        </is>
      </c>
      <c r="R105" s="14" t="n"/>
      <c r="S105" s="14" t="n"/>
      <c r="T105" s="14" t="n">
        <v>2026</v>
      </c>
      <c r="U105" s="14">
        <f>IF(
K105&lt;&gt;"",
"",
IF(
IF(I105&lt;&gt;"",I105,H105)="",
"",
IF(
ValidationDate&gt;IF(I105&lt;&gt;"",I105,H105),
"متأخر",
""
)
)
)</f>
        <v/>
      </c>
      <c r="V105" s="14">
        <f>IF(
OR(
M105&lt;&gt;"في الموعد",
NOT(ISNUMBER(K105)),
NOT(ISNUMBER(H105))
),
"",
IF(
INT(K105)&gt;INT(H105),
"متأخر",
""
)
)</f>
        <v/>
      </c>
      <c r="W105" s="14">
        <f>IF(COUNT(F105:K105)=0,"",TEXT(IF(K105&lt;&gt;"",K105,IF(I105&lt;&gt;"",I105,IF(J105&lt;&gt;"",J105,IF(H105&lt;&gt;"",H105,IF(G105&lt;&gt;"",G105,F105))))),"[$-en-US]mmm"))</f>
        <v/>
      </c>
    </row>
    <row r="106">
      <c r="A106" s="14" t="n">
        <v>151</v>
      </c>
      <c r="B106" s="14" t="n">
        <v>1178</v>
      </c>
      <c r="C106" t="inlineStr">
        <is>
          <t>تشريع توضيحي 105</t>
        </is>
      </c>
      <c r="D106" s="14" t="inlineStr">
        <is>
          <t>التنمية المستدامة</t>
        </is>
      </c>
      <c r="E106" s="14" t="inlineStr">
        <is>
          <t>السياسات والاستراتيجيات البيئية والبنية التحتية</t>
        </is>
      </c>
      <c r="F106" s="268" t="n">
        <v>46237</v>
      </c>
      <c r="G106" s="268" t="n">
        <v>46237</v>
      </c>
      <c r="H106" s="268" t="n">
        <v>46255</v>
      </c>
      <c r="I106" s="268" t="n"/>
      <c r="J106" s="268" t="n">
        <v>46252</v>
      </c>
      <c r="K106" s="268" t="n">
        <v>46247</v>
      </c>
      <c r="L106" s="268" t="n">
        <v>46248</v>
      </c>
      <c r="M106" s="268" t="inlineStr">
        <is>
          <t>في الموعد</t>
        </is>
      </c>
      <c r="N106" s="268" t="n"/>
      <c r="O106" s="7" t="inlineStr">
        <is>
          <t>مغلق</t>
        </is>
      </c>
      <c r="P106" s="7" t="inlineStr">
        <is>
          <t>محلي</t>
        </is>
      </c>
      <c r="Q106" s="14" t="inlineStr">
        <is>
          <t>اللجنة العليا للتشريعات في إمارة دبي</t>
        </is>
      </c>
      <c r="R106" s="14" t="n"/>
      <c r="S106" s="14" t="n"/>
      <c r="T106" s="14" t="n">
        <v>2026</v>
      </c>
      <c r="U106" s="14">
        <f>IF(
K106&lt;&gt;"",
"",
IF(
IF(I106&lt;&gt;"",I106,H106)="",
"",
IF(
ValidationDate&gt;IF(I106&lt;&gt;"",I106,H106),
"متأخر",
""
)
)
)</f>
        <v/>
      </c>
      <c r="V106" s="14">
        <f>IF(
OR(
M106&lt;&gt;"في الموعد",
NOT(ISNUMBER(K106)),
NOT(ISNUMBER(H106))
),
"",
IF(
INT(K106)&gt;INT(H106),
"متأخر",
""
)
)</f>
        <v/>
      </c>
      <c r="W106" s="14">
        <f>IF(COUNT(F106:K106)=0,"",TEXT(IF(K106&lt;&gt;"",K106,IF(I106&lt;&gt;"",I106,IF(J106&lt;&gt;"",J106,IF(H106&lt;&gt;"",H106,IF(G106&lt;&gt;"",G106,F106))))),"[$-en-US]mmm"))</f>
        <v/>
      </c>
    </row>
    <row r="107">
      <c r="A107" s="14" t="n">
        <v>156</v>
      </c>
      <c r="B107" s="14" t="n">
        <v>1215</v>
      </c>
      <c r="C107" t="inlineStr">
        <is>
          <t>تشريع توضيحي 106</t>
        </is>
      </c>
      <c r="D107" s="14" t="inlineStr">
        <is>
          <t>التنمية المستدامة</t>
        </is>
      </c>
      <c r="E107" s="14" t="inlineStr">
        <is>
          <t>السياسات والاستراتيجيات البيئية والبنية التحتية</t>
        </is>
      </c>
      <c r="F107" s="268" t="n">
        <v>46241</v>
      </c>
      <c r="G107" s="268" t="n">
        <v>46241</v>
      </c>
      <c r="H107" s="268" t="n">
        <v>46262</v>
      </c>
      <c r="I107" s="268" t="n"/>
      <c r="J107" s="268" t="n">
        <v>46259</v>
      </c>
      <c r="K107" s="268" t="n">
        <v>46258</v>
      </c>
      <c r="L107" s="268" t="n">
        <v>46260</v>
      </c>
      <c r="M107" s="268" t="inlineStr">
        <is>
          <t>في الموعد</t>
        </is>
      </c>
      <c r="N107" s="268" t="n"/>
      <c r="O107" s="7" t="inlineStr">
        <is>
          <t>مغلق</t>
        </is>
      </c>
      <c r="P107" s="7" t="inlineStr">
        <is>
          <t>محلي</t>
        </is>
      </c>
      <c r="Q107" s="14" t="inlineStr">
        <is>
          <t>هيئة الطرق والمواصلات</t>
        </is>
      </c>
      <c r="R107" s="14" t="n"/>
      <c r="S107" s="14" t="n"/>
      <c r="T107" s="14" t="n">
        <v>2026</v>
      </c>
      <c r="U107" s="14">
        <f>IF(
K107&lt;&gt;"",
"",
IF(
IF(I107&lt;&gt;"",I107,H107)="",
"",
IF(
ValidationDate&gt;IF(I107&lt;&gt;"",I107,H107),
"متأخر",
""
)
)
)</f>
        <v/>
      </c>
      <c r="V107" s="14">
        <f>IF(
OR(
M107&lt;&gt;"في الموعد",
NOT(ISNUMBER(K107)),
NOT(ISNUMBER(H107))
),
"",
IF(
INT(K107)&gt;INT(H107),
"متأخر",
""
)
)</f>
        <v/>
      </c>
      <c r="W107" s="14">
        <f>IF(COUNT(F107:K107)=0,"",TEXT(IF(K107&lt;&gt;"",K107,IF(I107&lt;&gt;"",I107,IF(J107&lt;&gt;"",J107,IF(H107&lt;&gt;"",H107,IF(G107&lt;&gt;"",G107,F107))))),"[$-en-US]mmm"))</f>
        <v/>
      </c>
    </row>
    <row r="108">
      <c r="A108" s="14" t="n">
        <v>158</v>
      </c>
      <c r="B108" s="14" t="n">
        <v>1219</v>
      </c>
      <c r="C108" t="inlineStr">
        <is>
          <t>تشريع توضيحي 107</t>
        </is>
      </c>
      <c r="D108" s="14" t="inlineStr">
        <is>
          <t>التنمية المستدامة</t>
        </is>
      </c>
      <c r="E108" s="14" t="inlineStr">
        <is>
          <t>السياسات والاستراتيجيات البيئية والبنية التحتية</t>
        </is>
      </c>
      <c r="F108" s="268" t="n">
        <v>46245</v>
      </c>
      <c r="G108" s="268" t="n">
        <v>46245</v>
      </c>
      <c r="H108" s="268" t="n">
        <v>46262</v>
      </c>
      <c r="I108" s="268" t="n"/>
      <c r="J108" s="268" t="n">
        <v>46259</v>
      </c>
      <c r="K108" s="268" t="n">
        <v>46253</v>
      </c>
      <c r="L108" s="268" t="n">
        <v>46255</v>
      </c>
      <c r="M108" s="268" t="inlineStr">
        <is>
          <t>في الموعد</t>
        </is>
      </c>
      <c r="N108" s="268" t="n"/>
      <c r="O108" s="7" t="inlineStr">
        <is>
          <t>مغلق</t>
        </is>
      </c>
      <c r="P108" s="7" t="inlineStr">
        <is>
          <t>محلي</t>
        </is>
      </c>
      <c r="Q108" s="14" t="inlineStr">
        <is>
          <t>اللجنة العليا للتشريعات في إمارة دبي</t>
        </is>
      </c>
      <c r="R108" s="14" t="n"/>
      <c r="S108" s="14" t="n"/>
      <c r="T108" s="14" t="n">
        <v>2026</v>
      </c>
      <c r="U108" s="14">
        <f>IF(
K108&lt;&gt;"",
"",
IF(
IF(I108&lt;&gt;"",I108,H108)="",
"",
IF(
ValidationDate&gt;IF(I108&lt;&gt;"",I108,H108),
"متأخر",
""
)
)
)</f>
        <v/>
      </c>
      <c r="V108" s="14">
        <f>IF(
OR(
M108&lt;&gt;"في الموعد",
NOT(ISNUMBER(K108)),
NOT(ISNUMBER(H108))
),
"",
IF(
INT(K108)&gt;INT(H108),
"متأخر",
""
)
)</f>
        <v/>
      </c>
      <c r="W108" s="14">
        <f>IF(COUNT(F108:K108)=0,"",TEXT(IF(K108&lt;&gt;"",K108,IF(I108&lt;&gt;"",I108,IF(J108&lt;&gt;"",J108,IF(H108&lt;&gt;"",H108,IF(G108&lt;&gt;"",G108,F108))))),"[$-en-US]mmm"))</f>
        <v/>
      </c>
    </row>
    <row r="109">
      <c r="A109" s="14" t="n">
        <v>160</v>
      </c>
      <c r="B109" s="14" t="n">
        <v>1192</v>
      </c>
      <c r="C109" t="inlineStr">
        <is>
          <t>تشريع توضيحي 108</t>
        </is>
      </c>
      <c r="D109" s="14" t="inlineStr">
        <is>
          <t>التنمية المستدامة</t>
        </is>
      </c>
      <c r="E109" s="14" t="inlineStr">
        <is>
          <t>السياسات والاستراتيجيات البيئية والبنية التحتية</t>
        </is>
      </c>
      <c r="F109" s="268" t="n">
        <v>46238</v>
      </c>
      <c r="G109" s="268" t="n">
        <v>46238</v>
      </c>
      <c r="H109" s="268" t="n">
        <v>46255</v>
      </c>
      <c r="I109" s="268" t="n"/>
      <c r="J109" s="268" t="n">
        <v>46252</v>
      </c>
      <c r="K109" s="268" t="n">
        <v>46252</v>
      </c>
      <c r="L109" s="268" t="n">
        <v>46254</v>
      </c>
      <c r="M109" s="268" t="inlineStr">
        <is>
          <t>في الموعد</t>
        </is>
      </c>
      <c r="N109" s="268" t="n"/>
      <c r="O109" s="7" t="inlineStr">
        <is>
          <t>مغلق</t>
        </is>
      </c>
      <c r="P109" s="7" t="inlineStr">
        <is>
          <t>اتحادي</t>
        </is>
      </c>
      <c r="Q109" s="14" t="inlineStr">
        <is>
          <t>اللجنة العليا للتشريعات في إمارة دبي</t>
        </is>
      </c>
      <c r="R109" s="14" t="n"/>
      <c r="S109" s="14" t="n"/>
      <c r="T109" s="14" t="n">
        <v>2026</v>
      </c>
      <c r="U109" s="14">
        <f>IF(
K109&lt;&gt;"",
"",
IF(
IF(I109&lt;&gt;"",I109,H109)="",
"",
IF(
ValidationDate&gt;IF(I109&lt;&gt;"",I109,H109),
"متأخر",
""
)
)
)</f>
        <v/>
      </c>
      <c r="V109" s="14">
        <f>IF(
OR(
M109&lt;&gt;"في الموعد",
NOT(ISNUMBER(K109)),
NOT(ISNUMBER(H109))
),
"",
IF(
INT(K109)&gt;INT(H109),
"متأخر",
""
)
)</f>
        <v/>
      </c>
      <c r="W109" s="14">
        <f>IF(COUNT(F109:K109)=0,"",TEXT(IF(K109&lt;&gt;"",K109,IF(I109&lt;&gt;"",I109,IF(J109&lt;&gt;"",J109,IF(H109&lt;&gt;"",H109,IF(G109&lt;&gt;"",G109,F109))))),"[$-en-US]mmm"))</f>
        <v/>
      </c>
    </row>
    <row r="110">
      <c r="A110" s="14" t="n">
        <v>165</v>
      </c>
      <c r="B110" s="14" t="n">
        <v>1236</v>
      </c>
      <c r="C110" t="inlineStr">
        <is>
          <t>تشريع توضيحي 109</t>
        </is>
      </c>
      <c r="D110" s="14" t="inlineStr">
        <is>
          <t>التنمية المستدامة</t>
        </is>
      </c>
      <c r="E110" s="14" t="inlineStr">
        <is>
          <t>السياسات والاستراتيجيات البيئية والبنية التحتية</t>
        </is>
      </c>
      <c r="F110" s="268" t="n">
        <v>46247</v>
      </c>
      <c r="G110" s="268" t="n">
        <v>46247</v>
      </c>
      <c r="H110" s="268" t="n">
        <v>46276</v>
      </c>
      <c r="I110" s="268" t="n"/>
      <c r="J110" s="268" t="n">
        <v>46273</v>
      </c>
      <c r="K110" s="268" t="n">
        <v>46258</v>
      </c>
      <c r="L110" s="268" t="n">
        <v>46260</v>
      </c>
      <c r="M110" s="268" t="inlineStr">
        <is>
          <t>في الموعد</t>
        </is>
      </c>
      <c r="N110" s="268" t="n"/>
      <c r="O110" s="7" t="inlineStr">
        <is>
          <t>مغلق</t>
        </is>
      </c>
      <c r="P110" s="7" t="inlineStr">
        <is>
          <t>محلي</t>
        </is>
      </c>
      <c r="Q110" s="14" t="inlineStr">
        <is>
          <t>اللجنة العليا للتشريعات في إمارة دبي</t>
        </is>
      </c>
      <c r="R110" s="14" t="n"/>
      <c r="S110" s="14" t="n"/>
      <c r="T110" s="14" t="n">
        <v>2026</v>
      </c>
      <c r="U110" s="14">
        <f>IF(
K110&lt;&gt;"",
"",
IF(
IF(I110&lt;&gt;"",I110,H110)="",
"",
IF(
ValidationDate&gt;IF(I110&lt;&gt;"",I110,H110),
"متأخر",
""
)
)
)</f>
        <v/>
      </c>
      <c r="V110" s="14">
        <f>IF(
OR(
M110&lt;&gt;"في الموعد",
NOT(ISNUMBER(K110)),
NOT(ISNUMBER(H110))
),
"",
IF(
INT(K110)&gt;INT(H110),
"متأخر",
""
)
)</f>
        <v/>
      </c>
      <c r="W110" s="14">
        <f>IF(COUNT(F110:K110)=0,"",TEXT(IF(K110&lt;&gt;"",K110,IF(I110&lt;&gt;"",I110,IF(J110&lt;&gt;"",J110,IF(H110&lt;&gt;"",H110,IF(G110&lt;&gt;"",G110,F110))))),"[$-en-US]mmm"))</f>
        <v/>
      </c>
    </row>
    <row r="111">
      <c r="A111" s="14" t="n">
        <v>167</v>
      </c>
      <c r="B111" s="14" t="n">
        <v>1243</v>
      </c>
      <c r="C111" t="inlineStr">
        <is>
          <t>تشريع توضيحي 110</t>
        </is>
      </c>
      <c r="D111" s="14" t="inlineStr">
        <is>
          <t>التنمية المستدامة</t>
        </is>
      </c>
      <c r="E111" s="14" t="inlineStr">
        <is>
          <t>السياسات والاستراتيجيات البيئية والبنية التحتية</t>
        </is>
      </c>
      <c r="F111" s="268" t="n">
        <v>46248</v>
      </c>
      <c r="G111" s="268" t="n">
        <v>46248</v>
      </c>
      <c r="H111" s="268" t="n">
        <v>46269</v>
      </c>
      <c r="I111" s="268" t="n"/>
      <c r="J111" s="268" t="n">
        <v>46266</v>
      </c>
      <c r="K111" s="268" t="n">
        <v>46255</v>
      </c>
      <c r="L111" s="268" t="n">
        <v>46255</v>
      </c>
      <c r="M111" s="268" t="inlineStr">
        <is>
          <t>في الموعد</t>
        </is>
      </c>
      <c r="N111" s="268" t="n"/>
      <c r="O111" s="7" t="inlineStr">
        <is>
          <t>مغلق</t>
        </is>
      </c>
      <c r="P111" s="7" t="inlineStr">
        <is>
          <t>محلي</t>
        </is>
      </c>
      <c r="Q111" s="14" t="inlineStr">
        <is>
          <t>مؤسسة الموانئ والجمارك والمنطقة الحرة</t>
        </is>
      </c>
      <c r="R111" s="14" t="n"/>
      <c r="S111" s="14" t="n"/>
      <c r="T111" s="14" t="n">
        <v>2026</v>
      </c>
      <c r="U111" s="14">
        <f>IF(
K111&lt;&gt;"",
"",
IF(
IF(I111&lt;&gt;"",I111,H111)="",
"",
IF(
ValidationDate&gt;IF(I111&lt;&gt;"",I111,H111),
"متأخر",
""
)
)
)</f>
        <v/>
      </c>
      <c r="V111" s="14">
        <f>IF(
OR(
M111&lt;&gt;"في الموعد",
NOT(ISNUMBER(K111)),
NOT(ISNUMBER(H111))
),
"",
IF(
INT(K111)&gt;INT(H111),
"متأخر",
""
)
)</f>
        <v/>
      </c>
      <c r="W111" s="14">
        <f>IF(COUNT(F111:K111)=0,"",TEXT(IF(K111&lt;&gt;"",K111,IF(I111&lt;&gt;"",I111,IF(J111&lt;&gt;"",J111,IF(H111&lt;&gt;"",H111,IF(G111&lt;&gt;"",G111,F111))))),"[$-en-US]mmm"))</f>
        <v/>
      </c>
    </row>
    <row r="112">
      <c r="A112" s="14" t="n">
        <v>188</v>
      </c>
      <c r="B112" s="14" t="n">
        <v>1407</v>
      </c>
      <c r="C112" t="inlineStr">
        <is>
          <t>تشريع توضيحي 111</t>
        </is>
      </c>
      <c r="D112" s="14" t="inlineStr">
        <is>
          <t>التنمية المستدامة</t>
        </is>
      </c>
      <c r="E112" s="14" t="inlineStr">
        <is>
          <t>السياسات والاستراتيجيات البيئية والبنية التحتية</t>
        </is>
      </c>
      <c r="F112" s="268" t="n">
        <v>46286</v>
      </c>
      <c r="G112" s="268" t="n">
        <v>46286</v>
      </c>
      <c r="H112" s="268" t="n">
        <v>46304</v>
      </c>
      <c r="I112" s="268" t="n"/>
      <c r="J112" s="268" t="n">
        <v>46301</v>
      </c>
      <c r="K112" s="268" t="n">
        <v>46300</v>
      </c>
      <c r="L112" s="268" t="n"/>
      <c r="M112" s="268" t="inlineStr">
        <is>
          <t>في الموعد</t>
        </is>
      </c>
      <c r="N112" s="268" t="n"/>
      <c r="O112" s="7" t="inlineStr">
        <is>
          <t>قيد المراجعة</t>
        </is>
      </c>
      <c r="P112" s="7" t="inlineStr">
        <is>
          <t>محلي</t>
        </is>
      </c>
      <c r="Q112" s="14" t="inlineStr">
        <is>
          <t>اللجنة العليا للتشريعات في إمارة دبي</t>
        </is>
      </c>
      <c r="R112" s="14" t="n"/>
      <c r="S112" s="14" t="n"/>
      <c r="T112" s="14" t="n">
        <v>2026</v>
      </c>
      <c r="U112" s="14">
        <f>IF(
K112&lt;&gt;"",
"",
IF(
IF(I112&lt;&gt;"",I112,H112)="",
"",
IF(
ValidationDate&gt;IF(I112&lt;&gt;"",I112,H112),
"متأخر",
""
)
)
)</f>
        <v/>
      </c>
      <c r="V112" s="14">
        <f>IF(
OR(
M112&lt;&gt;"في الموعد",
NOT(ISNUMBER(K112)),
NOT(ISNUMBER(H112))
),
"",
IF(
INT(K112)&gt;INT(H112),
"متأخر",
""
)
)</f>
        <v/>
      </c>
      <c r="W112" s="14">
        <f>IF(COUNT(F112:K112)=0,"",TEXT(IF(K112&lt;&gt;"",K112,IF(I112&lt;&gt;"",I112,IF(J112&lt;&gt;"",J112,IF(H112&lt;&gt;"",H112,IF(G112&lt;&gt;"",G112,F112))))),"[$-en-US]mmm"))</f>
        <v/>
      </c>
    </row>
    <row r="113">
      <c r="A113" s="14" t="n">
        <v>189</v>
      </c>
      <c r="B113" s="14" t="n">
        <v>1411</v>
      </c>
      <c r="C113" t="inlineStr">
        <is>
          <t>تشريع توضيحي 112</t>
        </is>
      </c>
      <c r="D113" s="14" t="inlineStr">
        <is>
          <t>التنمية المستدامة</t>
        </is>
      </c>
      <c r="E113" s="14" t="inlineStr">
        <is>
          <t>السياسات والاستراتيجيات البيئية والبنية التحتية</t>
        </is>
      </c>
      <c r="F113" s="268" t="n">
        <v>46287</v>
      </c>
      <c r="G113" s="268" t="n">
        <v>46287</v>
      </c>
      <c r="H113" s="268" t="n">
        <v>46325</v>
      </c>
      <c r="I113" s="268" t="n"/>
      <c r="J113" s="268" t="n">
        <v>46322</v>
      </c>
      <c r="K113" s="268" t="n"/>
      <c r="L113" s="268" t="n"/>
      <c r="M113" s="268" t="inlineStr">
        <is>
          <t>قيد الإجراء</t>
        </is>
      </c>
      <c r="N113" s="268" t="n"/>
      <c r="O113" s="7" t="inlineStr">
        <is>
          <t>قيد المراجعة</t>
        </is>
      </c>
      <c r="P113" s="7" t="inlineStr">
        <is>
          <t>محلي</t>
        </is>
      </c>
      <c r="Q113" s="14" t="inlineStr">
        <is>
          <t>اللجنة العليا للتشريعات في إمارة دبي</t>
        </is>
      </c>
      <c r="R113" s="14" t="n"/>
      <c r="S113" s="14" t="n"/>
      <c r="T113" s="14" t="n">
        <v>2026</v>
      </c>
      <c r="U113" s="14">
        <f>IF(
K113&lt;&gt;"",
"",
IF(
IF(I113&lt;&gt;"",I113,H113)="",
"",
IF(
ValidationDate&gt;IF(I113&lt;&gt;"",I113,H113),
"متأخر",
""
)
)
)</f>
        <v/>
      </c>
      <c r="V113" s="14">
        <f>IF(
OR(
M113&lt;&gt;"في الموعد",
NOT(ISNUMBER(K113)),
NOT(ISNUMBER(H113))
),
"",
IF(
INT(K113)&gt;INT(H113),
"متأخر",
""
)
)</f>
        <v/>
      </c>
      <c r="W113" s="14">
        <f>IF(COUNT(F113:K113)=0,"",TEXT(IF(K113&lt;&gt;"",K113,IF(I113&lt;&gt;"",I113,IF(J113&lt;&gt;"",J113,IF(H113&lt;&gt;"",H113,IF(G113&lt;&gt;"",G113,F113))))),"[$-en-US]mmm"))</f>
        <v/>
      </c>
    </row>
    <row r="114">
      <c r="A114" s="14" t="n">
        <v>191</v>
      </c>
      <c r="B114" s="14" t="n">
        <v>1453</v>
      </c>
      <c r="C114" t="inlineStr">
        <is>
          <t>تشريع توضيحي 113</t>
        </is>
      </c>
      <c r="D114" s="14" t="inlineStr">
        <is>
          <t>التنمية المستدامة</t>
        </is>
      </c>
      <c r="E114" s="14" t="inlineStr">
        <is>
          <t>السياسات والاستراتيجيات البيئية والبنية التحتية</t>
        </is>
      </c>
      <c r="F114" s="268" t="n">
        <v>46297</v>
      </c>
      <c r="G114" s="268" t="n">
        <v>46297</v>
      </c>
      <c r="H114" s="268" t="n">
        <v>46325</v>
      </c>
      <c r="I114" s="268" t="n"/>
      <c r="J114" s="268" t="n">
        <v>46322</v>
      </c>
      <c r="K114" s="268" t="n"/>
      <c r="L114" s="268" t="n"/>
      <c r="M114" s="268" t="inlineStr">
        <is>
          <t>قيد الإجراء</t>
        </is>
      </c>
      <c r="N114" s="268" t="n"/>
      <c r="O114" s="7" t="inlineStr">
        <is>
          <t>قيد المراجعة</t>
        </is>
      </c>
      <c r="P114" s="7" t="n"/>
      <c r="Q114" s="14" t="n"/>
      <c r="R114" s="14" t="n"/>
      <c r="S114" s="14" t="n"/>
      <c r="T114" s="14" t="n">
        <v>2026</v>
      </c>
      <c r="U114" s="14">
        <f>IF(
K114&lt;&gt;"",
"",
IF(
IF(I114&lt;&gt;"",I114,H114)="",
"",
IF(
ValidationDate&gt;IF(I114&lt;&gt;"",I114,H114),
"متأخر",
""
)
)
)</f>
        <v/>
      </c>
      <c r="V114" s="14">
        <f>IF(
OR(
M114&lt;&gt;"في الموعد",
NOT(ISNUMBER(K114)),
NOT(ISNUMBER(H114))
),
"",
IF(
INT(K114)&gt;INT(H114),
"متأخر",
""
)
)</f>
        <v/>
      </c>
      <c r="W114" s="14">
        <f>IF(COUNT(F114:K114)=0,"",TEXT(IF(K114&lt;&gt;"",K114,IF(I114&lt;&gt;"",I114,IF(J114&lt;&gt;"",J114,IF(H114&lt;&gt;"",H114,IF(G114&lt;&gt;"",G114,F114))))),"[$-en-US]mmm"))</f>
        <v/>
      </c>
    </row>
    <row r="115">
      <c r="A115" s="14" t="n">
        <v>194</v>
      </c>
      <c r="B115" s="14" t="n">
        <v>1228</v>
      </c>
      <c r="C115" t="inlineStr">
        <is>
          <t>تشريع توضيحي 114</t>
        </is>
      </c>
      <c r="D115" s="14" t="inlineStr">
        <is>
          <t>التنمية المستدامة</t>
        </is>
      </c>
      <c r="E115" s="14" t="inlineStr">
        <is>
          <t>السياسات والاستراتيجيات البيئية والبنية التحتية</t>
        </is>
      </c>
      <c r="F115" s="268" t="n">
        <v>46246</v>
      </c>
      <c r="G115" s="268" t="n">
        <v>46246</v>
      </c>
      <c r="H115" s="268" t="n">
        <v>46276</v>
      </c>
      <c r="I115" s="268" t="n"/>
      <c r="J115" s="268" t="n">
        <v>46273</v>
      </c>
      <c r="K115" s="268" t="n">
        <v>46268</v>
      </c>
      <c r="L115" s="268" t="n">
        <v>46272</v>
      </c>
      <c r="M115" s="268" t="inlineStr">
        <is>
          <t>في الموعد</t>
        </is>
      </c>
      <c r="N115" s="268" t="n"/>
      <c r="O115" s="7" t="inlineStr">
        <is>
          <t>مغلق</t>
        </is>
      </c>
      <c r="P115" s="7" t="inlineStr">
        <is>
          <t>محلي</t>
        </is>
      </c>
      <c r="Q115" s="14" t="inlineStr">
        <is>
          <t>اللجنة العليا للتشريعات في إمارة دبي</t>
        </is>
      </c>
      <c r="R115" s="14" t="n"/>
      <c r="S115" s="14" t="n"/>
      <c r="T115" s="14" t="n">
        <v>2026</v>
      </c>
      <c r="U115" s="14">
        <f>IF(
K115&lt;&gt;"",
"",
IF(
IF(I115&lt;&gt;"",I115,H115)="",
"",
IF(
ValidationDate&gt;IF(I115&lt;&gt;"",I115,H115),
"متأخر",
""
)
)
)</f>
        <v/>
      </c>
      <c r="V115" s="14">
        <f>IF(
OR(
M115&lt;&gt;"في الموعد",
NOT(ISNUMBER(K115)),
NOT(ISNUMBER(H115))
),
"",
IF(
INT(K115)&gt;INT(H115),
"متأخر",
""
)
)</f>
        <v/>
      </c>
      <c r="W115" s="14">
        <f>IF(COUNT(F115:K115)=0,"",TEXT(IF(K115&lt;&gt;"",K115,IF(I115&lt;&gt;"",I115,IF(J115&lt;&gt;"",J115,IF(H115&lt;&gt;"",H115,IF(G115&lt;&gt;"",G115,F115))))),"[$-en-US]mmm"))</f>
        <v/>
      </c>
    </row>
    <row r="116">
      <c r="A116" s="14" t="n">
        <v>196</v>
      </c>
      <c r="B116" s="14" t="n">
        <v>1239</v>
      </c>
      <c r="C116" t="inlineStr">
        <is>
          <t>تشريع توضيحي 115</t>
        </is>
      </c>
      <c r="D116" s="14" t="inlineStr">
        <is>
          <t>التنمية المستدامة</t>
        </is>
      </c>
      <c r="E116" s="14" t="inlineStr">
        <is>
          <t>السياسات والاستراتيجيات البيئية والبنية التحتية</t>
        </is>
      </c>
      <c r="F116" s="268" t="n">
        <v>46248</v>
      </c>
      <c r="G116" s="268" t="n">
        <v>46251</v>
      </c>
      <c r="H116" s="268" t="n">
        <v>46269</v>
      </c>
      <c r="I116" s="268" t="n"/>
      <c r="J116" s="268" t="n">
        <v>46266</v>
      </c>
      <c r="K116" s="268" t="n">
        <v>46268</v>
      </c>
      <c r="L116" s="268" t="n">
        <v>46269</v>
      </c>
      <c r="M116" s="268" t="inlineStr">
        <is>
          <t>في الموعد</t>
        </is>
      </c>
      <c r="N116" s="268" t="n"/>
      <c r="O116" s="7" t="inlineStr">
        <is>
          <t>مغلق</t>
        </is>
      </c>
      <c r="P116" s="7" t="inlineStr">
        <is>
          <t>محلي</t>
        </is>
      </c>
      <c r="Q116" s="14" t="inlineStr">
        <is>
          <t>اللجنة العليا للتشريعات في إمارة دبي</t>
        </is>
      </c>
      <c r="R116" s="14" t="n"/>
      <c r="S116" s="14" t="n"/>
      <c r="T116" s="14" t="n">
        <v>2026</v>
      </c>
      <c r="U116" s="14">
        <f>IF(
K116&lt;&gt;"",
"",
IF(
IF(I116&lt;&gt;"",I116,H116)="",
"",
IF(
ValidationDate&gt;IF(I116&lt;&gt;"",I116,H116),
"متأخر",
""
)
)
)</f>
        <v/>
      </c>
      <c r="V116" s="14">
        <f>IF(
OR(
M116&lt;&gt;"في الموعد",
NOT(ISNUMBER(K116)),
NOT(ISNUMBER(H116))
),
"",
IF(
INT(K116)&gt;INT(H116),
"متأخر",
""
)
)</f>
        <v/>
      </c>
      <c r="W116" s="14">
        <f>IF(COUNT(F116:K116)=0,"",TEXT(IF(K116&lt;&gt;"",K116,IF(I116&lt;&gt;"",I116,IF(J116&lt;&gt;"",J116,IF(H116&lt;&gt;"",H116,IF(G116&lt;&gt;"",G116,F116))))),"[$-en-US]mmm"))</f>
        <v/>
      </c>
    </row>
    <row r="117">
      <c r="A117" s="14" t="n">
        <v>200</v>
      </c>
      <c r="B117" s="14" t="n">
        <v>1292</v>
      </c>
      <c r="C117" t="inlineStr">
        <is>
          <t>تشريع توضيحي 116</t>
        </is>
      </c>
      <c r="D117" s="14" t="inlineStr">
        <is>
          <t>التنمية المستدامة</t>
        </is>
      </c>
      <c r="E117" s="14" t="inlineStr">
        <is>
          <t>السياسات والاستراتيجيات البيئية والبنية التحتية</t>
        </is>
      </c>
      <c r="F117" s="268" t="n">
        <v>46261</v>
      </c>
      <c r="G117" s="268" t="n">
        <v>46261</v>
      </c>
      <c r="H117" s="268" t="n">
        <v>46290</v>
      </c>
      <c r="I117" s="268" t="n"/>
      <c r="J117" s="268" t="n">
        <v>46287</v>
      </c>
      <c r="K117" s="268" t="n">
        <v>46281</v>
      </c>
      <c r="L117" s="268" t="n">
        <v>46282</v>
      </c>
      <c r="M117" s="268" t="inlineStr">
        <is>
          <t>في الموعد</t>
        </is>
      </c>
      <c r="N117" s="268" t="n"/>
      <c r="O117" s="7" t="inlineStr">
        <is>
          <t>مغلق</t>
        </is>
      </c>
      <c r="P117" s="7" t="inlineStr">
        <is>
          <t>اتحادي</t>
        </is>
      </c>
      <c r="Q117" s="14" t="inlineStr">
        <is>
          <t>اللجنة العليا للتشريعات في إمارة دبي</t>
        </is>
      </c>
      <c r="R117" s="14" t="n"/>
      <c r="S117" s="14" t="n"/>
      <c r="T117" s="14" t="n">
        <v>2026</v>
      </c>
      <c r="U117" s="14">
        <f>IF(
K117&lt;&gt;"",
"",
IF(
IF(I117&lt;&gt;"",I117,H117)="",
"",
IF(
ValidationDate&gt;IF(I117&lt;&gt;"",I117,H117),
"متأخر",
""
)
)
)</f>
        <v/>
      </c>
      <c r="V117" s="14">
        <f>IF(
OR(
M117&lt;&gt;"في الموعد",
NOT(ISNUMBER(K117)),
NOT(ISNUMBER(H117))
),
"",
IF(
INT(K117)&gt;INT(H117),
"متأخر",
""
)
)</f>
        <v/>
      </c>
      <c r="W117" s="14">
        <f>IF(COUNT(F117:K117)=0,"",TEXT(IF(K117&lt;&gt;"",K117,IF(I117&lt;&gt;"",I117,IF(J117&lt;&gt;"",J117,IF(H117&lt;&gt;"",H117,IF(G117&lt;&gt;"",G117,F117))))),"[$-en-US]mmm"))</f>
        <v/>
      </c>
    </row>
    <row r="118">
      <c r="A118" s="14" t="n">
        <v>201</v>
      </c>
      <c r="B118" s="14" t="n">
        <v>1298</v>
      </c>
      <c r="C118" t="inlineStr">
        <is>
          <t>تشريع توضيحي 117</t>
        </is>
      </c>
      <c r="D118" s="14" t="inlineStr">
        <is>
          <t>التنمية المستدامة</t>
        </is>
      </c>
      <c r="E118" s="14" t="inlineStr">
        <is>
          <t>السياسات والاستراتيجيات البيئية والبنية التحتية</t>
        </is>
      </c>
      <c r="F118" s="268" t="n">
        <v>46265</v>
      </c>
      <c r="G118" s="268" t="n">
        <v>46265</v>
      </c>
      <c r="H118" s="268" t="n">
        <v>46276</v>
      </c>
      <c r="I118" s="268" t="n"/>
      <c r="J118" s="268" t="n">
        <v>46273</v>
      </c>
      <c r="K118" s="268" t="n">
        <v>46272</v>
      </c>
      <c r="L118" s="268" t="n">
        <v>46276</v>
      </c>
      <c r="M118" s="268" t="inlineStr">
        <is>
          <t>في الموعد</t>
        </is>
      </c>
      <c r="N118" s="268" t="n"/>
      <c r="O118" s="7" t="inlineStr">
        <is>
          <t>مغلق</t>
        </is>
      </c>
      <c r="P118" s="7" t="inlineStr">
        <is>
          <t>محلي</t>
        </is>
      </c>
      <c r="Q118" s="14" t="inlineStr">
        <is>
          <t>اللجنة العليا للتشريعات في إمارة دبي</t>
        </is>
      </c>
      <c r="R118" s="14" t="n"/>
      <c r="S118" s="14" t="n"/>
      <c r="T118" s="14" t="n">
        <v>2026</v>
      </c>
      <c r="U118" s="14">
        <f>IF(
K118&lt;&gt;"",
"",
IF(
IF(I118&lt;&gt;"",I118,H118)="",
"",
IF(
ValidationDate&gt;IF(I118&lt;&gt;"",I118,H118),
"متأخر",
""
)
)
)</f>
        <v/>
      </c>
      <c r="V118" s="14">
        <f>IF(
OR(
M118&lt;&gt;"في الموعد",
NOT(ISNUMBER(K118)),
NOT(ISNUMBER(H118))
),
"",
IF(
INT(K118)&gt;INT(H118),
"متأخر",
""
)
)</f>
        <v/>
      </c>
      <c r="W118" s="14">
        <f>IF(COUNT(F118:K118)=0,"",TEXT(IF(K118&lt;&gt;"",K118,IF(I118&lt;&gt;"",I118,IF(J118&lt;&gt;"",J118,IF(H118&lt;&gt;"",H118,IF(G118&lt;&gt;"",G118,F118))))),"[$-en-US]mmm"))</f>
        <v/>
      </c>
    </row>
    <row r="119">
      <c r="A119" s="14" t="n">
        <v>205</v>
      </c>
      <c r="B119" s="14" t="n">
        <v>1328</v>
      </c>
      <c r="C119" t="inlineStr">
        <is>
          <t>تشريع توضيحي 118</t>
        </is>
      </c>
      <c r="D119" s="14" t="inlineStr">
        <is>
          <t>التنمية المستدامة</t>
        </is>
      </c>
      <c r="E119" s="14" t="inlineStr">
        <is>
          <t>السياسات والاستراتيجيات البيئية والبنية التحتية</t>
        </is>
      </c>
      <c r="F119" s="268" t="n">
        <v>46272</v>
      </c>
      <c r="G119" s="268" t="n">
        <v>46272</v>
      </c>
      <c r="H119" s="268" t="n">
        <v>46290</v>
      </c>
      <c r="I119" s="268" t="n"/>
      <c r="J119" s="268" t="n">
        <v>46287</v>
      </c>
      <c r="K119" s="268" t="n">
        <v>46280</v>
      </c>
      <c r="L119" s="268" t="n">
        <v>46287</v>
      </c>
      <c r="M119" s="268" t="inlineStr">
        <is>
          <t>في الموعد</t>
        </is>
      </c>
      <c r="N119" s="268" t="n"/>
      <c r="O119" s="7" t="inlineStr">
        <is>
          <t>مغلق</t>
        </is>
      </c>
      <c r="P119" s="7" t="inlineStr">
        <is>
          <t>محلي</t>
        </is>
      </c>
      <c r="Q119" s="14" t="inlineStr">
        <is>
          <t>اللجنة العليا للتشريعات في إمارة دبي</t>
        </is>
      </c>
      <c r="R119" s="14" t="n"/>
      <c r="S119" s="14" t="n"/>
      <c r="T119" s="14" t="n">
        <v>2026</v>
      </c>
      <c r="U119" s="14">
        <f>IF(
K119&lt;&gt;"",
"",
IF(
IF(I119&lt;&gt;"",I119,H119)="",
"",
IF(
ValidationDate&gt;IF(I119&lt;&gt;"",I119,H119),
"متأخر",
""
)
)
)</f>
        <v/>
      </c>
      <c r="V119" s="14">
        <f>IF(
OR(
M119&lt;&gt;"في الموعد",
NOT(ISNUMBER(K119)),
NOT(ISNUMBER(H119))
),
"",
IF(
INT(K119)&gt;INT(H119),
"متأخر",
""
)
)</f>
        <v/>
      </c>
      <c r="W119" s="14">
        <f>IF(COUNT(F119:K119)=0,"",TEXT(IF(K119&lt;&gt;"",K119,IF(I119&lt;&gt;"",I119,IF(J119&lt;&gt;"",J119,IF(H119&lt;&gt;"",H119,IF(G119&lt;&gt;"",G119,F119))))),"[$-en-US]mmm"))</f>
        <v/>
      </c>
    </row>
    <row r="120">
      <c r="A120" s="14" t="n">
        <v>8</v>
      </c>
      <c r="B120" s="14" t="n">
        <v>152</v>
      </c>
      <c r="C120" t="inlineStr">
        <is>
          <t>تشريع توضيحي 119</t>
        </is>
      </c>
      <c r="D120" s="14" t="inlineStr">
        <is>
          <t>التنمية المستدامة</t>
        </is>
      </c>
      <c r="E120" s="14" t="inlineStr">
        <is>
          <t>السياسات والاستراتيجيات الصحية والعدل</t>
        </is>
      </c>
      <c r="F120" s="268" t="n">
        <v>46052</v>
      </c>
      <c r="G120" s="268" t="n">
        <v>46052</v>
      </c>
      <c r="H120" s="268" t="n">
        <v>46080</v>
      </c>
      <c r="I120" s="268" t="n">
        <v>46099</v>
      </c>
      <c r="J120" s="268" t="n">
        <v>46077</v>
      </c>
      <c r="K120" s="268" t="n">
        <v>46094</v>
      </c>
      <c r="L120" s="268" t="n">
        <v>46098</v>
      </c>
      <c r="M120" s="268" t="inlineStr">
        <is>
          <t>في الموعد</t>
        </is>
      </c>
      <c r="N120" s="268" t="n"/>
      <c r="O120" s="7" t="inlineStr">
        <is>
          <t>مغلق</t>
        </is>
      </c>
      <c r="P120" s="7" t="inlineStr">
        <is>
          <t>محلي</t>
        </is>
      </c>
      <c r="Q120" s="14" t="inlineStr">
        <is>
          <t>اللجنة العليا للتشريعات في إمارة دبي</t>
        </is>
      </c>
      <c r="R120" s="14" t="n"/>
      <c r="S120" s="14" t="n"/>
      <c r="T120" s="14" t="n">
        <v>2026</v>
      </c>
      <c r="U120" s="14">
        <f>IF(
K120&lt;&gt;"",
"",
IF(
IF(I120&lt;&gt;"",I120,H120)="",
"",
IF(
ValidationDate&gt;IF(I120&lt;&gt;"",I120,H120),
"متأخر",
""
)
)
)</f>
        <v/>
      </c>
      <c r="V120" s="14">
        <f>IF(
OR(
M120&lt;&gt;"في الموعد",
NOT(ISNUMBER(K120)),
NOT(ISNUMBER(H120))
),
"",
IF(
INT(K120)&gt;INT(H120),
"متأخر",
""
)
)</f>
        <v/>
      </c>
      <c r="W120" s="14">
        <f>IF(COUNT(F120:K120)=0,"",TEXT(IF(K120&lt;&gt;"",K120,IF(I120&lt;&gt;"",I120,IF(J120&lt;&gt;"",J120,IF(H120&lt;&gt;"",H120,IF(G120&lt;&gt;"",G120,F120))))),"[$-en-US]mmm"))</f>
        <v/>
      </c>
    </row>
    <row r="121">
      <c r="A121" s="14" t="n">
        <v>11</v>
      </c>
      <c r="B121" s="14" t="n">
        <v>164</v>
      </c>
      <c r="C121" t="inlineStr">
        <is>
          <t>تشريع توضيحي 120</t>
        </is>
      </c>
      <c r="D121" s="14" t="inlineStr">
        <is>
          <t>التنمية المستدامة</t>
        </is>
      </c>
      <c r="E121" s="14" t="inlineStr">
        <is>
          <t>السياسات والاستراتيجيات الصحية والعدل</t>
        </is>
      </c>
      <c r="F121" s="268" t="n">
        <v>46056</v>
      </c>
      <c r="G121" s="268" t="n">
        <v>46056</v>
      </c>
      <c r="H121" s="268" t="n">
        <v>46073</v>
      </c>
      <c r="I121" s="268" t="n"/>
      <c r="J121" s="268" t="n">
        <v>46072</v>
      </c>
      <c r="K121" s="268" t="n">
        <v>46069</v>
      </c>
      <c r="L121" s="268" t="n">
        <v>46071</v>
      </c>
      <c r="M121" s="268" t="inlineStr">
        <is>
          <t>في الموعد</t>
        </is>
      </c>
      <c r="N121" s="268" t="n"/>
      <c r="O121" s="7" t="inlineStr">
        <is>
          <t>مغلق</t>
        </is>
      </c>
      <c r="P121" s="7" t="inlineStr">
        <is>
          <t>محلي</t>
        </is>
      </c>
      <c r="Q121" s="14" t="inlineStr">
        <is>
          <t>اللجنة العليا للتشريعات في إمارة دبي</t>
        </is>
      </c>
      <c r="R121" s="14" t="n"/>
      <c r="S121" s="14" t="n"/>
      <c r="T121" s="14" t="n">
        <v>2026</v>
      </c>
      <c r="U121" s="14">
        <f>IF(
K121&lt;&gt;"",
"",
IF(
IF(I121&lt;&gt;"",I121,H121)="",
"",
IF(
ValidationDate&gt;IF(I121&lt;&gt;"",I121,H121),
"متأخر",
""
)
)
)</f>
        <v/>
      </c>
      <c r="V121" s="14">
        <f>IF(
OR(
M121&lt;&gt;"في الموعد",
NOT(ISNUMBER(K121)),
NOT(ISNUMBER(H121))
),
"",
IF(
INT(K121)&gt;INT(H121),
"متأخر",
""
)
)</f>
        <v/>
      </c>
      <c r="W121" s="14">
        <f>IF(COUNT(F121:K121)=0,"",TEXT(IF(K121&lt;&gt;"",K121,IF(I121&lt;&gt;"",I121,IF(J121&lt;&gt;"",J121,IF(H121&lt;&gt;"",H121,IF(G121&lt;&gt;"",G121,F121))))),"[$-en-US]mmm"))</f>
        <v/>
      </c>
    </row>
    <row r="122">
      <c r="A122" s="14" t="n">
        <v>12</v>
      </c>
      <c r="B122" s="14" t="n">
        <v>165</v>
      </c>
      <c r="C122" t="inlineStr">
        <is>
          <t>تشريع توضيحي 121</t>
        </is>
      </c>
      <c r="D122" s="14" t="inlineStr">
        <is>
          <t>التنمية المستدامة</t>
        </is>
      </c>
      <c r="E122" s="14" t="inlineStr">
        <is>
          <t>السياسات والاستراتيجيات الصحية والعدل</t>
        </is>
      </c>
      <c r="F122" s="268" t="n">
        <v>46056</v>
      </c>
      <c r="G122" s="268" t="n">
        <v>46056</v>
      </c>
      <c r="H122" s="268" t="n">
        <v>46069</v>
      </c>
      <c r="I122" s="268" t="n"/>
      <c r="J122" s="268" t="n">
        <v>46064</v>
      </c>
      <c r="K122" s="268" t="n">
        <v>46065</v>
      </c>
      <c r="L122" s="268" t="n">
        <v>46066</v>
      </c>
      <c r="M122" s="268" t="inlineStr">
        <is>
          <t>في الموعد</t>
        </is>
      </c>
      <c r="N122" s="268" t="n"/>
      <c r="O122" s="7" t="inlineStr">
        <is>
          <t>مغلق</t>
        </is>
      </c>
      <c r="P122" s="7" t="inlineStr">
        <is>
          <t>محلي</t>
        </is>
      </c>
      <c r="Q122" s="14" t="inlineStr">
        <is>
          <t>اللجنة العليا للتشريعات في إمارة دبي</t>
        </is>
      </c>
      <c r="R122" s="14" t="n"/>
      <c r="S122" s="14" t="n"/>
      <c r="T122" s="14" t="n">
        <v>2026</v>
      </c>
      <c r="U122" s="14">
        <f>IF(
K122&lt;&gt;"",
"",
IF(
IF(I122&lt;&gt;"",I122,H122)="",
"",
IF(
ValidationDate&gt;IF(I122&lt;&gt;"",I122,H122),
"متأخر",
""
)
)
)</f>
        <v/>
      </c>
      <c r="V122" s="14">
        <f>IF(
OR(
M122&lt;&gt;"في الموعد",
NOT(ISNUMBER(K122)),
NOT(ISNUMBER(H122))
),
"",
IF(
INT(K122)&gt;INT(H122),
"متأخر",
""
)
)</f>
        <v/>
      </c>
      <c r="W122" s="14">
        <f>IF(COUNT(F122:K122)=0,"",TEXT(IF(K122&lt;&gt;"",K122,IF(I122&lt;&gt;"",I122,IF(J122&lt;&gt;"",J122,IF(H122&lt;&gt;"",H122,IF(G122&lt;&gt;"",G122,F122))))),"[$-en-US]mmm"))</f>
        <v/>
      </c>
    </row>
    <row r="123">
      <c r="A123" s="14" t="n">
        <v>20</v>
      </c>
      <c r="B123" s="14" t="n">
        <v>207</v>
      </c>
      <c r="C123" t="inlineStr">
        <is>
          <t>تشريع توضيحي 122</t>
        </is>
      </c>
      <c r="D123" s="14" t="inlineStr">
        <is>
          <t>التنمية المستدامة</t>
        </is>
      </c>
      <c r="E123" s="14" t="inlineStr">
        <is>
          <t>السياسات والاستراتيجيات الصحية والعدل</t>
        </is>
      </c>
      <c r="F123" s="268" t="n">
        <v>46063</v>
      </c>
      <c r="G123" s="268" t="n">
        <v>46063</v>
      </c>
      <c r="H123" s="268" t="n">
        <v>46073</v>
      </c>
      <c r="I123" s="268" t="n">
        <v>46080</v>
      </c>
      <c r="J123" s="268" t="n">
        <v>46077</v>
      </c>
      <c r="K123" s="268" t="n">
        <v>46078</v>
      </c>
      <c r="L123" s="268" t="n">
        <v>46079</v>
      </c>
      <c r="M123" s="268" t="inlineStr">
        <is>
          <t>في الموعد</t>
        </is>
      </c>
      <c r="N123" s="268" t="n"/>
      <c r="O123" s="7" t="inlineStr">
        <is>
          <t>مغلق</t>
        </is>
      </c>
      <c r="P123" s="7" t="inlineStr">
        <is>
          <t>محلي</t>
        </is>
      </c>
      <c r="Q123" s="14" t="inlineStr">
        <is>
          <t>اللجنة العليا للتشريعات في إمارة دبي</t>
        </is>
      </c>
      <c r="R123" s="14" t="n"/>
      <c r="S123" s="14" t="n"/>
      <c r="T123" s="14" t="n">
        <v>2026</v>
      </c>
      <c r="U123" s="14">
        <f>IF(
K123&lt;&gt;"",
"",
IF(
IF(I123&lt;&gt;"",I123,H123)="",
"",
IF(
ValidationDate&gt;IF(I123&lt;&gt;"",I123,H123),
"متأخر",
""
)
)
)</f>
        <v/>
      </c>
      <c r="V123" s="14">
        <f>IF(
OR(
M123&lt;&gt;"في الموعد",
NOT(ISNUMBER(K123)),
NOT(ISNUMBER(H123))
),
"",
IF(
INT(K123)&gt;INT(H123),
"متأخر",
""
)
)</f>
        <v/>
      </c>
      <c r="W123" s="14">
        <f>IF(COUNT(F123:K123)=0,"",TEXT(IF(K123&lt;&gt;"",K123,IF(I123&lt;&gt;"",I123,IF(J123&lt;&gt;"",J123,IF(H123&lt;&gt;"",H123,IF(G123&lt;&gt;"",G123,F123))))),"[$-en-US]mmm"))</f>
        <v/>
      </c>
    </row>
    <row r="124">
      <c r="A124" s="14" t="n">
        <v>33</v>
      </c>
      <c r="B124" s="14" t="n">
        <v>298</v>
      </c>
      <c r="C124" t="inlineStr">
        <is>
          <t>تشريع توضيحي 123</t>
        </is>
      </c>
      <c r="D124" s="14" t="inlineStr">
        <is>
          <t>التنمية المستدامة</t>
        </is>
      </c>
      <c r="E124" s="14" t="inlineStr">
        <is>
          <t>السياسات والاستراتيجيات الصحية والعدل</t>
        </is>
      </c>
      <c r="F124" s="268" t="n">
        <v>46077</v>
      </c>
      <c r="G124" s="268" t="n">
        <v>46077</v>
      </c>
      <c r="H124" s="268" t="n">
        <v>46094</v>
      </c>
      <c r="I124" s="268" t="n"/>
      <c r="J124" s="268" t="n">
        <v>46091</v>
      </c>
      <c r="K124" s="268" t="n">
        <v>46091</v>
      </c>
      <c r="L124" s="268" t="n">
        <v>46106</v>
      </c>
      <c r="M124" s="268" t="inlineStr">
        <is>
          <t>في الموعد</t>
        </is>
      </c>
      <c r="N124" s="268" t="n"/>
      <c r="O124" s="7" t="inlineStr">
        <is>
          <t>مغلق</t>
        </is>
      </c>
      <c r="P124" s="7" t="inlineStr">
        <is>
          <t>محلي</t>
        </is>
      </c>
      <c r="Q124" s="14" t="inlineStr">
        <is>
          <t>اللجنة العليا للتشريعات في إمارة دبي</t>
        </is>
      </c>
      <c r="R124" s="14" t="n"/>
      <c r="S124" s="14" t="n"/>
      <c r="T124" s="14" t="n">
        <v>2026</v>
      </c>
      <c r="U124" s="14">
        <f>IF(
K124&lt;&gt;"",
"",
IF(
IF(I124&lt;&gt;"",I124,H124)="",
"",
IF(
ValidationDate&gt;IF(I124&lt;&gt;"",I124,H124),
"متأخر",
""
)
)
)</f>
        <v/>
      </c>
      <c r="V124" s="14">
        <f>IF(
OR(
M124&lt;&gt;"في الموعد",
NOT(ISNUMBER(K124)),
NOT(ISNUMBER(H124))
),
"",
IF(
INT(K124)&gt;INT(H124),
"متأخر",
""
)
)</f>
        <v/>
      </c>
      <c r="W124" s="14">
        <f>IF(COUNT(F124:K124)=0,"",TEXT(IF(K124&lt;&gt;"",K124,IF(I124&lt;&gt;"",I124,IF(J124&lt;&gt;"",J124,IF(H124&lt;&gt;"",H124,IF(G124&lt;&gt;"",G124,F124))))),"[$-en-US]mmm"))</f>
        <v/>
      </c>
    </row>
    <row r="125">
      <c r="A125" s="14" t="n">
        <v>47</v>
      </c>
      <c r="B125" s="14" t="n">
        <v>438</v>
      </c>
      <c r="C125" t="inlineStr">
        <is>
          <t>تشريع توضيحي 124</t>
        </is>
      </c>
      <c r="D125" s="14" t="inlineStr">
        <is>
          <t>التنمية المستدامة</t>
        </is>
      </c>
      <c r="E125" s="14" t="inlineStr">
        <is>
          <t>السياسات والاستراتيجيات الصحية والعدل</t>
        </is>
      </c>
      <c r="F125" s="268" t="n">
        <v>46104</v>
      </c>
      <c r="G125" s="268" t="n">
        <v>46104</v>
      </c>
      <c r="H125" s="268" t="n">
        <v>46122</v>
      </c>
      <c r="I125" s="268" t="n"/>
      <c r="J125" s="268" t="n">
        <v>46119</v>
      </c>
      <c r="K125" s="268" t="n">
        <v>46120</v>
      </c>
      <c r="L125" s="268" t="n">
        <v>46122</v>
      </c>
      <c r="M125" s="268" t="inlineStr">
        <is>
          <t>في الموعد</t>
        </is>
      </c>
      <c r="N125" s="268" t="n"/>
      <c r="O125" s="7" t="inlineStr">
        <is>
          <t>مغلق</t>
        </is>
      </c>
      <c r="P125" s="7" t="inlineStr">
        <is>
          <t>اتحادي</t>
        </is>
      </c>
      <c r="Q125" s="14" t="inlineStr">
        <is>
          <t>اللجنة العليا للتشريعات في إمارة دبي</t>
        </is>
      </c>
      <c r="R125" s="14" t="n"/>
      <c r="S125" s="14" t="n"/>
      <c r="T125" s="14" t="n">
        <v>2026</v>
      </c>
      <c r="U125" s="14">
        <f>IF(
K125&lt;&gt;"",
"",
IF(
IF(I125&lt;&gt;"",I125,H125)="",
"",
IF(
ValidationDate&gt;IF(I125&lt;&gt;"",I125,H125),
"متأخر",
""
)
)
)</f>
        <v/>
      </c>
      <c r="V125" s="14">
        <f>IF(
OR(
M125&lt;&gt;"في الموعد",
NOT(ISNUMBER(K125)),
NOT(ISNUMBER(H125))
),
"",
IF(
INT(K125)&gt;INT(H125),
"متأخر",
""
)
)</f>
        <v/>
      </c>
      <c r="W125" s="14">
        <f>IF(COUNT(F125:K125)=0,"",TEXT(IF(K125&lt;&gt;"",K125,IF(I125&lt;&gt;"",I125,IF(J125&lt;&gt;"",J125,IF(H125&lt;&gt;"",H125,IF(G125&lt;&gt;"",G125,F125))))),"[$-en-US]mmm"))</f>
        <v/>
      </c>
    </row>
    <row r="126">
      <c r="A126" s="14" t="n">
        <v>52</v>
      </c>
      <c r="B126" s="14" t="n">
        <v>510</v>
      </c>
      <c r="C126" t="inlineStr">
        <is>
          <t>تشريع توضيحي 125</t>
        </is>
      </c>
      <c r="D126" s="14" t="inlineStr">
        <is>
          <t>التنمية المستدامة</t>
        </is>
      </c>
      <c r="E126" s="14" t="inlineStr">
        <is>
          <t>السياسات والاستراتيجيات الصحية والعدل</t>
        </is>
      </c>
      <c r="F126" s="268" t="n">
        <v>46118</v>
      </c>
      <c r="G126" s="268" t="n">
        <v>46118</v>
      </c>
      <c r="H126" s="268" t="n">
        <v>46122</v>
      </c>
      <c r="I126" s="268" t="n">
        <v>46136</v>
      </c>
      <c r="J126" s="268" t="n">
        <v>46122</v>
      </c>
      <c r="K126" s="268" t="n">
        <v>46133</v>
      </c>
      <c r="L126" s="268" t="n">
        <v>46134</v>
      </c>
      <c r="M126" s="268" t="inlineStr">
        <is>
          <t>في الموعد</t>
        </is>
      </c>
      <c r="N126" s="268" t="n"/>
      <c r="O126" s="7" t="inlineStr">
        <is>
          <t>مغلق</t>
        </is>
      </c>
      <c r="P126" s="7" t="inlineStr">
        <is>
          <t>محلي</t>
        </is>
      </c>
      <c r="Q126" s="14" t="inlineStr">
        <is>
          <t>اللجنة العليا للتشريعات في إمارة دبي</t>
        </is>
      </c>
      <c r="R126" s="14" t="n"/>
      <c r="S126" s="14" t="n"/>
      <c r="T126" s="14" t="n">
        <v>2026</v>
      </c>
      <c r="U126" s="14">
        <f>IF(
K126&lt;&gt;"",
"",
IF(
IF(I126&lt;&gt;"",I126,H126)="",
"",
IF(
ValidationDate&gt;IF(I126&lt;&gt;"",I126,H126),
"متأخر",
""
)
)
)</f>
        <v/>
      </c>
      <c r="V126" s="14">
        <f>IF(
OR(
M126&lt;&gt;"في الموعد",
NOT(ISNUMBER(K126)),
NOT(ISNUMBER(H126))
),
"",
IF(
INT(K126)&gt;INT(H126),
"متأخر",
""
)
)</f>
        <v/>
      </c>
      <c r="W126" s="14">
        <f>IF(COUNT(F126:K126)=0,"",TEXT(IF(K126&lt;&gt;"",K126,IF(I126&lt;&gt;"",I126,IF(J126&lt;&gt;"",J126,IF(H126&lt;&gt;"",H126,IF(G126&lt;&gt;"",G126,F126))))),"[$-en-US]mmm"))</f>
        <v/>
      </c>
    </row>
    <row r="127">
      <c r="A127" s="14" t="n">
        <v>67</v>
      </c>
      <c r="B127" s="14" t="n">
        <v>608</v>
      </c>
      <c r="C127" t="inlineStr">
        <is>
          <t>تشريع توضيحي 126</t>
        </is>
      </c>
      <c r="D127" s="14" t="inlineStr">
        <is>
          <t>التنمية المستدامة</t>
        </is>
      </c>
      <c r="E127" s="14" t="inlineStr">
        <is>
          <t>السياسات والاستراتيجيات الصحية والعدل</t>
        </is>
      </c>
      <c r="F127" s="268" t="n">
        <v>46136</v>
      </c>
      <c r="G127" s="268" t="n">
        <v>46136</v>
      </c>
      <c r="H127" s="268" t="n">
        <v>46141</v>
      </c>
      <c r="I127" s="268" t="n">
        <v>46150</v>
      </c>
      <c r="J127" s="268" t="n">
        <v>46148</v>
      </c>
      <c r="K127" s="268" t="n">
        <v>46149</v>
      </c>
      <c r="L127" s="268" t="n">
        <v>46152</v>
      </c>
      <c r="M127" s="268" t="inlineStr">
        <is>
          <t>في الموعد</t>
        </is>
      </c>
      <c r="N127" s="268" t="n"/>
      <c r="O127" s="7" t="inlineStr">
        <is>
          <t>مغلق</t>
        </is>
      </c>
      <c r="P127" s="7" t="inlineStr">
        <is>
          <t>اتحادي</t>
        </is>
      </c>
      <c r="Q127" s="14" t="inlineStr">
        <is>
          <t>اللجنة العليا للتشريعات في إمارة دبي</t>
        </is>
      </c>
      <c r="R127" s="14" t="n"/>
      <c r="S127" s="14" t="n"/>
      <c r="T127" s="14" t="n">
        <v>2026</v>
      </c>
      <c r="U127" s="14">
        <f>IF(
K127&lt;&gt;"",
"",
IF(
IF(I127&lt;&gt;"",I127,H127)="",
"",
IF(
ValidationDate&gt;IF(I127&lt;&gt;"",I127,H127),
"متأخر",
""
)
)
)</f>
        <v/>
      </c>
      <c r="V127" s="14">
        <f>IF(
OR(
M127&lt;&gt;"في الموعد",
NOT(ISNUMBER(K127)),
NOT(ISNUMBER(H127))
),
"",
IF(
INT(K127)&gt;INT(H127),
"متأخر",
""
)
)</f>
        <v/>
      </c>
      <c r="W127" s="14">
        <f>IF(COUNT(F127:K127)=0,"",TEXT(IF(K127&lt;&gt;"",K127,IF(I127&lt;&gt;"",I127,IF(J127&lt;&gt;"",J127,IF(H127&lt;&gt;"",H127,IF(G127&lt;&gt;"",G127,F127))))),"[$-en-US]mmm"))</f>
        <v/>
      </c>
    </row>
    <row r="128">
      <c r="A128" s="14" t="n">
        <v>79</v>
      </c>
      <c r="B128" s="14" t="n">
        <v>671</v>
      </c>
      <c r="C128" t="inlineStr">
        <is>
          <t>تشريع توضيحي 127</t>
        </is>
      </c>
      <c r="D128" s="14" t="inlineStr">
        <is>
          <t>التنمية المستدامة</t>
        </is>
      </c>
      <c r="E128" s="14" t="inlineStr">
        <is>
          <t>السياسات والاستراتيجيات الصحية والعدل</t>
        </is>
      </c>
      <c r="F128" s="268" t="n">
        <v>46146</v>
      </c>
      <c r="G128" s="268" t="n">
        <v>46146</v>
      </c>
      <c r="H128" s="268" t="n">
        <v>46157</v>
      </c>
      <c r="I128" s="268" t="n"/>
      <c r="J128" s="268" t="n">
        <v>46154</v>
      </c>
      <c r="K128" s="268" t="n">
        <v>46153</v>
      </c>
      <c r="L128" s="268" t="n">
        <v>46154</v>
      </c>
      <c r="M128" s="268" t="inlineStr">
        <is>
          <t>في الموعد</t>
        </is>
      </c>
      <c r="N128" s="268" t="n"/>
      <c r="O128" s="7" t="inlineStr">
        <is>
          <t>مغلق</t>
        </is>
      </c>
      <c r="P128" s="7" t="inlineStr">
        <is>
          <t>محلي</t>
        </is>
      </c>
      <c r="Q128" s="14" t="inlineStr">
        <is>
          <t>اللجنة العليا للتشريعات في إمارة دبي</t>
        </is>
      </c>
      <c r="R128" s="14" t="n"/>
      <c r="S128" s="14" t="n"/>
      <c r="T128" s="14" t="n">
        <v>2026</v>
      </c>
      <c r="U128" s="14">
        <f>IF(
K128&lt;&gt;"",
"",
IF(
IF(I128&lt;&gt;"",I128,H128)="",
"",
IF(
ValidationDate&gt;IF(I128&lt;&gt;"",I128,H128),
"متأخر",
""
)
)
)</f>
        <v/>
      </c>
      <c r="V128" s="14">
        <f>IF(
OR(
M128&lt;&gt;"في الموعد",
NOT(ISNUMBER(K128)),
NOT(ISNUMBER(H128))
),
"",
IF(
INT(K128)&gt;INT(H128),
"متأخر",
""
)
)</f>
        <v/>
      </c>
      <c r="W128" s="14">
        <f>IF(COUNT(F128:K128)=0,"",TEXT(IF(K128&lt;&gt;"",K128,IF(I128&lt;&gt;"",I128,IF(J128&lt;&gt;"",J128,IF(H128&lt;&gt;"",H128,IF(G128&lt;&gt;"",G128,F128))))),"[$-en-US]mmm"))</f>
        <v/>
      </c>
    </row>
    <row r="129">
      <c r="A129" s="14" t="n">
        <v>82</v>
      </c>
      <c r="B129" s="14" t="inlineStr">
        <is>
          <t>510/2</t>
        </is>
      </c>
      <c r="C129" t="inlineStr">
        <is>
          <t>تشريع توضيحي 128</t>
        </is>
      </c>
      <c r="D129" s="14" t="inlineStr">
        <is>
          <t>التنمية المستدامة</t>
        </is>
      </c>
      <c r="E129" s="14" t="inlineStr">
        <is>
          <t>السياسات والاستراتيجيات الصحية والعدل</t>
        </is>
      </c>
      <c r="F129" s="268" t="n">
        <v>46146</v>
      </c>
      <c r="G129" s="268" t="n">
        <v>46146</v>
      </c>
      <c r="H129" s="268" t="n">
        <v>46157</v>
      </c>
      <c r="I129" s="268" t="n"/>
      <c r="J129" s="268" t="n">
        <v>46154</v>
      </c>
      <c r="K129" s="268" t="n">
        <v>46153</v>
      </c>
      <c r="L129" s="268" t="n">
        <v>46154</v>
      </c>
      <c r="M129" s="268" t="inlineStr">
        <is>
          <t>في الموعد</t>
        </is>
      </c>
      <c r="N129" s="268" t="n"/>
      <c r="O129" s="7" t="inlineStr">
        <is>
          <t>مغلق</t>
        </is>
      </c>
      <c r="P129" s="7" t="inlineStr">
        <is>
          <t>محلي</t>
        </is>
      </c>
      <c r="Q129" s="14" t="inlineStr">
        <is>
          <t>اللجنة العليا للتشريعات في إمارة دبي</t>
        </is>
      </c>
      <c r="R129" s="14" t="n"/>
      <c r="S129" s="14" t="n"/>
      <c r="T129" s="14" t="n">
        <v>2026</v>
      </c>
      <c r="U129" s="14">
        <f>IF(
K129&lt;&gt;"",
"",
IF(
IF(I129&lt;&gt;"",I129,H129)="",
"",
IF(
ValidationDate&gt;IF(I129&lt;&gt;"",I129,H129),
"متأخر",
""
)
)
)</f>
        <v/>
      </c>
      <c r="V129" s="14">
        <f>IF(
OR(
M129&lt;&gt;"في الموعد",
NOT(ISNUMBER(K129)),
NOT(ISNUMBER(H129))
),
"",
IF(
INT(K129)&gt;INT(H129),
"متأخر",
""
)
)</f>
        <v/>
      </c>
      <c r="W129" s="14">
        <f>IF(COUNT(F129:K129)=0,"",TEXT(IF(K129&lt;&gt;"",K129,IF(I129&lt;&gt;"",I129,IF(J129&lt;&gt;"",J129,IF(H129&lt;&gt;"",H129,IF(G129&lt;&gt;"",G129,F129))))),"[$-en-US]mmm"))</f>
        <v/>
      </c>
    </row>
    <row r="130">
      <c r="A130" s="14" t="n">
        <v>95</v>
      </c>
      <c r="B130" s="14" t="n">
        <v>750</v>
      </c>
      <c r="C130" t="inlineStr">
        <is>
          <t>تشريع توضيحي 129</t>
        </is>
      </c>
      <c r="D130" s="14" t="inlineStr">
        <is>
          <t>التنمية المستدامة</t>
        </is>
      </c>
      <c r="E130" s="14" t="inlineStr">
        <is>
          <t>السياسات والاستراتيجيات الصحية والعدل</t>
        </is>
      </c>
      <c r="F130" s="268" t="n">
        <v>46160</v>
      </c>
      <c r="G130" s="268" t="n">
        <v>46160</v>
      </c>
      <c r="H130" s="268" t="n">
        <v>46192</v>
      </c>
      <c r="I130" s="268" t="n"/>
      <c r="J130" s="268" t="n">
        <v>46189</v>
      </c>
      <c r="K130" s="268" t="n">
        <v>46182</v>
      </c>
      <c r="L130" s="268" t="n">
        <v>46183</v>
      </c>
      <c r="M130" s="268" t="inlineStr">
        <is>
          <t>في الموعد</t>
        </is>
      </c>
      <c r="N130" s="268" t="n"/>
      <c r="O130" s="7" t="inlineStr">
        <is>
          <t>مغلق</t>
        </is>
      </c>
      <c r="P130" s="7" t="inlineStr">
        <is>
          <t>محلي</t>
        </is>
      </c>
      <c r="Q130" s="14" t="inlineStr">
        <is>
          <t>اللجنة العليا للتشريعات في إمارة دبي</t>
        </is>
      </c>
      <c r="R130" s="14" t="n"/>
      <c r="S130" s="14" t="n"/>
      <c r="T130" s="14" t="n">
        <v>2026</v>
      </c>
      <c r="U130" s="14">
        <f>IF(
   K130&lt;&gt;"",
   "",
   IF(
      IF(I130&lt;&gt;"",I130,H130)="",
      "",
      IF(
         ValidationDate&gt;IF(I130&lt;&gt;"",I130,H130),
         "متأخر",
         ""
      )
   )
)</f>
        <v/>
      </c>
      <c r="V130" s="14">
        <f>IF(
OR(
M130&lt;&gt;"في الموعد",
NOT(ISNUMBER(K130)),
NOT(ISNUMBER(H130))
),
"",
IF(
INT(K130)&gt;INT(H130),
"متأخر",
""
)
)</f>
        <v/>
      </c>
      <c r="W130" s="14">
        <f>IF(COUNT(F130:K130)=0,"",TEXT(IF(K130&lt;&gt;"",K130,IF(I130&lt;&gt;"",I130,IF(J130&lt;&gt;"",J130,IF(H130&lt;&gt;"",H130,IF(G130&lt;&gt;"",G130,F130))))),"[$-en-US]mmm"))</f>
        <v/>
      </c>
    </row>
    <row r="131">
      <c r="A131" s="14" t="n">
        <v>98</v>
      </c>
      <c r="B131" s="14" t="n">
        <v>753</v>
      </c>
      <c r="C131" t="inlineStr">
        <is>
          <t>تشريع توضيحي 130</t>
        </is>
      </c>
      <c r="D131" s="14" t="inlineStr">
        <is>
          <t>التنمية المستدامة</t>
        </is>
      </c>
      <c r="E131" s="14" t="inlineStr">
        <is>
          <t>السياسات والاستراتيجيات الصحية والعدل</t>
        </is>
      </c>
      <c r="F131" s="268" t="n">
        <v>46160</v>
      </c>
      <c r="G131" s="268" t="n">
        <v>46161</v>
      </c>
      <c r="H131" s="268" t="n">
        <v>46185</v>
      </c>
      <c r="I131" s="268" t="n"/>
      <c r="J131" s="268" t="n">
        <v>46182</v>
      </c>
      <c r="K131" s="268" t="n">
        <v>46182</v>
      </c>
      <c r="L131" s="268" t="n">
        <v>46183</v>
      </c>
      <c r="M131" s="268" t="inlineStr">
        <is>
          <t>في الموعد</t>
        </is>
      </c>
      <c r="N131" s="268" t="n"/>
      <c r="O131" s="7" t="inlineStr">
        <is>
          <t>مغلق</t>
        </is>
      </c>
      <c r="P131" s="7" t="inlineStr">
        <is>
          <t>محلي</t>
        </is>
      </c>
      <c r="Q131" s="14" t="inlineStr">
        <is>
          <t>اللجنة العليا للتشريعات في إمارة دبي</t>
        </is>
      </c>
      <c r="R131" s="14" t="n"/>
      <c r="S131" s="14" t="n"/>
      <c r="T131" s="14" t="n">
        <v>2026</v>
      </c>
      <c r="U131" s="14">
        <f>IF(
K131&lt;&gt;"",
"",
IF(
IF(I131&lt;&gt;"",I131,H131)="",
"",
IF(
ValidationDate&gt;IF(I131&lt;&gt;"",I131,H131),
"متأخر",
""
)
)
)</f>
        <v/>
      </c>
      <c r="V131" s="14">
        <f>IF(
OR(
M131&lt;&gt;"في الموعد",
NOT(ISNUMBER(K131)),
NOT(ISNUMBER(H131))
),
"",
IF(
INT(K131)&gt;INT(H131),
"متأخر",
""
)
)</f>
        <v/>
      </c>
      <c r="W131" s="14">
        <f>IF(COUNT(F131:K131)=0,"",TEXT(IF(K131&lt;&gt;"",K131,IF(I131&lt;&gt;"",I131,IF(J131&lt;&gt;"",J131,IF(H131&lt;&gt;"",H131,IF(G131&lt;&gt;"",G131,F131))))),"[$-en-US]mmm"))</f>
        <v/>
      </c>
    </row>
    <row r="132">
      <c r="A132" s="14" t="n">
        <v>99</v>
      </c>
      <c r="B132" s="14" t="n">
        <v>755</v>
      </c>
      <c r="C132" t="inlineStr">
        <is>
          <t>تشريع توضيحي 131</t>
        </is>
      </c>
      <c r="D132" s="14" t="inlineStr">
        <is>
          <t>التنمية المستدامة</t>
        </is>
      </c>
      <c r="E132" s="14" t="inlineStr">
        <is>
          <t>السياسات والاستراتيجيات الصحية والعدل</t>
        </is>
      </c>
      <c r="F132" s="268" t="n">
        <v>46161</v>
      </c>
      <c r="G132" s="268" t="n">
        <v>46161</v>
      </c>
      <c r="H132" s="268" t="n">
        <v>46185</v>
      </c>
      <c r="I132" s="268" t="n"/>
      <c r="J132" s="268" t="n">
        <v>46182</v>
      </c>
      <c r="K132" s="268" t="n">
        <v>46182</v>
      </c>
      <c r="L132" s="268" t="n">
        <v>46183</v>
      </c>
      <c r="M132" s="268" t="inlineStr">
        <is>
          <t>في الموعد</t>
        </is>
      </c>
      <c r="N132" s="268" t="n"/>
      <c r="O132" s="7" t="inlineStr">
        <is>
          <t>مغلق</t>
        </is>
      </c>
      <c r="P132" s="7" t="inlineStr">
        <is>
          <t>اتحادي</t>
        </is>
      </c>
      <c r="Q132" s="14" t="inlineStr">
        <is>
          <t>اللجنة العليا للتشريعات في إمارة دبي</t>
        </is>
      </c>
      <c r="R132" s="14" t="n"/>
      <c r="S132" s="14" t="n"/>
      <c r="T132" s="14" t="n">
        <v>2026</v>
      </c>
      <c r="U132" s="14">
        <f>IF(
K132&lt;&gt;"",
"",
IF(
IF(I132&lt;&gt;"",I132,H132)="",
"",
IF(
ValidationDate&gt;IF(I132&lt;&gt;"",I132,H132),
"متأخر",
""
)
)
)</f>
        <v/>
      </c>
      <c r="V132" s="14">
        <f>IF(
OR(
M132&lt;&gt;"في الموعد",
NOT(ISNUMBER(K132)),
NOT(ISNUMBER(H132))
),
"",
IF(
INT(K132)&gt;INT(H132),
"متأخر",
""
)
)</f>
        <v/>
      </c>
      <c r="W132" s="14">
        <f>IF(COUNT(F132:K132)=0,"",TEXT(IF(K132&lt;&gt;"",K132,IF(I132&lt;&gt;"",I132,IF(J132&lt;&gt;"",J132,IF(H132&lt;&gt;"",H132,IF(G132&lt;&gt;"",G132,F132))))),"[$-en-US]mmm"))</f>
        <v/>
      </c>
    </row>
    <row r="133">
      <c r="A133" s="14" t="n">
        <v>113</v>
      </c>
      <c r="B133" s="14" t="n">
        <v>902</v>
      </c>
      <c r="C133" t="inlineStr">
        <is>
          <t>تشريع توضيحي 132</t>
        </is>
      </c>
      <c r="D133" s="14" t="inlineStr">
        <is>
          <t>التنمية المستدامة</t>
        </is>
      </c>
      <c r="E133" s="14" t="inlineStr">
        <is>
          <t>السياسات والاستراتيجيات الصحية والعدل</t>
        </is>
      </c>
      <c r="F133" s="268" t="n">
        <v>46190</v>
      </c>
      <c r="G133" s="268" t="n">
        <v>46190</v>
      </c>
      <c r="H133" s="268" t="n">
        <v>46213</v>
      </c>
      <c r="I133" s="268" t="n">
        <v>46220</v>
      </c>
      <c r="J133" s="268" t="n">
        <v>46217</v>
      </c>
      <c r="K133" s="268" t="n">
        <v>46216</v>
      </c>
      <c r="L133" s="268" t="n">
        <v>46219</v>
      </c>
      <c r="M133" s="268" t="inlineStr">
        <is>
          <t>في الموعد</t>
        </is>
      </c>
      <c r="N133" s="268" t="n"/>
      <c r="O133" s="7" t="inlineStr">
        <is>
          <t>مغلق</t>
        </is>
      </c>
      <c r="P133" s="7" t="inlineStr">
        <is>
          <t>اتحادي</t>
        </is>
      </c>
      <c r="Q133" s="14" t="inlineStr">
        <is>
          <t>اللجنة العليا للتشريعات في إمارة دبي</t>
        </is>
      </c>
      <c r="R133" s="14" t="n"/>
      <c r="S133" s="14" t="n"/>
      <c r="T133" s="14" t="n">
        <v>2026</v>
      </c>
      <c r="U133" s="14">
        <f>IF(
K133&lt;&gt;"",
"",
IF(
IF(I133&lt;&gt;"",I133,H133)="",
"",
IF(
ValidationDate&gt;IF(I133&lt;&gt;"",I133,H133),
"متأخر",
""
)
)
)</f>
        <v/>
      </c>
      <c r="V133" s="14">
        <f>IF(
OR(
M133&lt;&gt;"في الموعد",
NOT(ISNUMBER(K133)),
NOT(ISNUMBER(H133))
),
"",
IF(
INT(K133)&gt;INT(H133),
"متأخر",
""
)
)</f>
        <v/>
      </c>
      <c r="W133" s="14">
        <f>IF(COUNT(F133:K133)=0,"",TEXT(IF(K133&lt;&gt;"",K133,IF(I133&lt;&gt;"",I133,IF(J133&lt;&gt;"",J133,IF(H133&lt;&gt;"",H133,IF(G133&lt;&gt;"",G133,F133))))),"[$-en-US]mmm"))</f>
        <v/>
      </c>
    </row>
    <row r="134">
      <c r="A134" s="14" t="n">
        <v>119</v>
      </c>
      <c r="B134" s="14" t="n">
        <v>940</v>
      </c>
      <c r="C134" t="inlineStr">
        <is>
          <t>تشريع توضيحي 133</t>
        </is>
      </c>
      <c r="D134" s="14" t="inlineStr">
        <is>
          <t>التنمية المستدامة</t>
        </is>
      </c>
      <c r="E134" s="14" t="inlineStr">
        <is>
          <t>السياسات والاستراتيجيات الصحية والعدل</t>
        </is>
      </c>
      <c r="F134" s="268" t="n">
        <v>46197</v>
      </c>
      <c r="G134" s="268" t="n">
        <v>46198</v>
      </c>
      <c r="H134" s="268" t="n">
        <v>46217</v>
      </c>
      <c r="I134" s="268" t="n">
        <v>46227</v>
      </c>
      <c r="J134" s="268" t="n">
        <v>46224</v>
      </c>
      <c r="K134" s="268" t="n">
        <v>46217</v>
      </c>
      <c r="L134" s="268" t="n">
        <v>46224</v>
      </c>
      <c r="M134" s="268" t="inlineStr">
        <is>
          <t>في الموعد</t>
        </is>
      </c>
      <c r="N134" s="268" t="n"/>
      <c r="O134" s="7" t="inlineStr">
        <is>
          <t>مغلق</t>
        </is>
      </c>
      <c r="P134" s="7" t="inlineStr">
        <is>
          <t>محلي</t>
        </is>
      </c>
      <c r="Q134" s="14" t="inlineStr">
        <is>
          <t>اللجنة العليا للتشريعات في إمارة دبي</t>
        </is>
      </c>
      <c r="R134" s="14" t="n"/>
      <c r="S134" s="14" t="n"/>
      <c r="T134" s="14" t="n">
        <v>2026</v>
      </c>
      <c r="U134" s="14">
        <f>IF(
K134&lt;&gt;"",
"",
IF(
IF(I134&lt;&gt;"",I134,H134)="",
"",
IF(
ValidationDate&gt;IF(I134&lt;&gt;"",I134,H134),
"متأخر",
""
)
)
)</f>
        <v/>
      </c>
      <c r="V134" s="14">
        <f>IF(
OR(
M134&lt;&gt;"في الموعد",
NOT(ISNUMBER(K134)),
NOT(ISNUMBER(H134))
),
"",
IF(
INT(K134)&gt;INT(H134),
"متأخر",
""
)
)</f>
        <v/>
      </c>
      <c r="W134" s="14">
        <f>IF(COUNT(F134:K134)=0,"",TEXT(IF(K134&lt;&gt;"",K134,IF(I134&lt;&gt;"",I134,IF(J134&lt;&gt;"",J134,IF(H134&lt;&gt;"",H134,IF(G134&lt;&gt;"",G134,F134))))),"[$-en-US]mmm"))</f>
        <v/>
      </c>
    </row>
    <row r="135">
      <c r="A135" s="14" t="n">
        <v>123</v>
      </c>
      <c r="B135" s="14" t="n">
        <v>953</v>
      </c>
      <c r="C135" t="inlineStr">
        <is>
          <t>تشريع توضيحي 134</t>
        </is>
      </c>
      <c r="D135" s="14" t="inlineStr">
        <is>
          <t>التنمية المستدامة</t>
        </is>
      </c>
      <c r="E135" s="14" t="inlineStr">
        <is>
          <t>السياسات والاستراتيجيات الصحية والعدل</t>
        </is>
      </c>
      <c r="F135" s="268" t="n">
        <v>46198</v>
      </c>
      <c r="G135" s="268" t="n">
        <v>46198</v>
      </c>
      <c r="H135" s="268" t="n">
        <v>46220</v>
      </c>
      <c r="I135" s="268" t="n">
        <v>46234</v>
      </c>
      <c r="J135" s="268" t="n">
        <v>46231</v>
      </c>
      <c r="K135" s="268" t="n">
        <v>46230</v>
      </c>
      <c r="L135" s="268" t="n">
        <v>46231</v>
      </c>
      <c r="M135" s="268" t="inlineStr">
        <is>
          <t>في الموعد</t>
        </is>
      </c>
      <c r="N135" s="268" t="n"/>
      <c r="O135" s="7" t="inlineStr">
        <is>
          <t>مغلق</t>
        </is>
      </c>
      <c r="P135" s="7" t="inlineStr">
        <is>
          <t>محلي</t>
        </is>
      </c>
      <c r="Q135" s="14" t="inlineStr">
        <is>
          <t>اللجنة العليا للتشريعات في إمارة دبي</t>
        </is>
      </c>
      <c r="R135" s="14" t="n"/>
      <c r="S135" s="14" t="n"/>
      <c r="T135" s="14" t="n">
        <v>2026</v>
      </c>
      <c r="U135" s="14">
        <f>IF(
K135&lt;&gt;"",
"",
IF(
IF(I135&lt;&gt;"",I135,H135)="",
"",
IF(
ValidationDate&gt;IF(I135&lt;&gt;"",I135,H135),
"متأخر",
""
)
)
)</f>
        <v/>
      </c>
      <c r="V135" s="14">
        <f>IF(
OR(
M135&lt;&gt;"في الموعد",
NOT(ISNUMBER(K135)),
NOT(ISNUMBER(H135))
),
"",
IF(
INT(K135)&gt;INT(H135),
"متأخر",
""
)
)</f>
        <v/>
      </c>
      <c r="W135" s="14">
        <f>IF(COUNT(F135:K135)=0,"",TEXT(IF(K135&lt;&gt;"",K135,IF(I135&lt;&gt;"",I135,IF(J135&lt;&gt;"",J135,IF(H135&lt;&gt;"",H135,IF(G135&lt;&gt;"",G135,F135))))),"[$-en-US]mmm"))</f>
        <v/>
      </c>
    </row>
    <row r="136">
      <c r="A136" s="14" t="n">
        <v>127</v>
      </c>
      <c r="B136" s="14" t="n">
        <v>1004</v>
      </c>
      <c r="C136" t="inlineStr">
        <is>
          <t>تشريع توضيحي 135</t>
        </is>
      </c>
      <c r="D136" s="14" t="inlineStr">
        <is>
          <t>التنمية المستدامة</t>
        </is>
      </c>
      <c r="E136" s="14" t="inlineStr">
        <is>
          <t>السياسات والاستراتيجيات الصحية والعدل</t>
        </is>
      </c>
      <c r="F136" s="268" t="n">
        <v>46209</v>
      </c>
      <c r="G136" s="268" t="n">
        <v>46209</v>
      </c>
      <c r="H136" s="268" t="n">
        <v>46227</v>
      </c>
      <c r="I136" s="268" t="n">
        <v>46234</v>
      </c>
      <c r="J136" s="268" t="n">
        <v>46224</v>
      </c>
      <c r="K136" s="268" t="n">
        <v>46232</v>
      </c>
      <c r="L136" s="268" t="n">
        <v>46233</v>
      </c>
      <c r="M136" s="268" t="inlineStr">
        <is>
          <t>في الموعد</t>
        </is>
      </c>
      <c r="N136" s="268" t="n"/>
      <c r="O136" s="7" t="inlineStr">
        <is>
          <t>مغلق</t>
        </is>
      </c>
      <c r="P136" s="7" t="inlineStr">
        <is>
          <t>محلي</t>
        </is>
      </c>
      <c r="Q136" s="14" t="inlineStr">
        <is>
          <t>اللجنة العليا للتشريعات في إمارة دبي</t>
        </is>
      </c>
      <c r="R136" s="14" t="n"/>
      <c r="S136" s="14" t="n"/>
      <c r="T136" s="14" t="n">
        <v>2026</v>
      </c>
      <c r="U136" s="14">
        <f>IF(
K136&lt;&gt;"",
"",
IF(
IF(I136&lt;&gt;"",I136,H136)="",
"",
IF(
ValidationDate&gt;IF(I136&lt;&gt;"",I136,H136),
"متأخر",
""
)
)
)</f>
        <v/>
      </c>
      <c r="V136" s="14">
        <f>IF(
OR(
M136&lt;&gt;"في الموعد",
NOT(ISNUMBER(K136)),
NOT(ISNUMBER(H136))
),
"",
IF(
INT(K136)&gt;INT(H136),
"متأخر",
""
)
)</f>
        <v/>
      </c>
      <c r="W136" s="14">
        <f>IF(COUNT(F136:K136)=0,"",TEXT(IF(K136&lt;&gt;"",K136,IF(I136&lt;&gt;"",I136,IF(J136&lt;&gt;"",J136,IF(H136&lt;&gt;"",H136,IF(G136&lt;&gt;"",G136,F136))))),"[$-en-US]mmm"))</f>
        <v/>
      </c>
    </row>
    <row r="137">
      <c r="A137" s="14" t="n">
        <v>138</v>
      </c>
      <c r="B137" s="14" t="n">
        <v>1106</v>
      </c>
      <c r="C137" t="inlineStr">
        <is>
          <t>تشريع توضيحي 136</t>
        </is>
      </c>
      <c r="D137" s="14" t="inlineStr">
        <is>
          <t>التنمية المستدامة</t>
        </is>
      </c>
      <c r="E137" s="14" t="inlineStr">
        <is>
          <t>السياسات والاستراتيجيات الصحية والعدل</t>
        </is>
      </c>
      <c r="F137" s="268" t="n">
        <v>46224</v>
      </c>
      <c r="G137" s="268" t="n">
        <v>46225</v>
      </c>
      <c r="H137" s="268" t="n">
        <v>46237</v>
      </c>
      <c r="I137" s="268" t="n">
        <v>46241</v>
      </c>
      <c r="J137" s="268" t="n">
        <v>46232</v>
      </c>
      <c r="K137" s="268" t="n">
        <v>46239</v>
      </c>
      <c r="L137" s="268" t="n">
        <v>46244</v>
      </c>
      <c r="M137" s="268" t="inlineStr">
        <is>
          <t>في الموعد</t>
        </is>
      </c>
      <c r="N137" s="268" t="n"/>
      <c r="O137" s="7" t="inlineStr">
        <is>
          <t>مغلق</t>
        </is>
      </c>
      <c r="P137" s="7" t="inlineStr">
        <is>
          <t>محلي</t>
        </is>
      </c>
      <c r="Q137" s="14" t="inlineStr">
        <is>
          <t>اللجنة العليا للتشريعات في إمارة دبي</t>
        </is>
      </c>
      <c r="R137" s="14" t="n"/>
      <c r="S137" s="14" t="n"/>
      <c r="T137" s="14" t="n">
        <v>2026</v>
      </c>
      <c r="U137" s="14">
        <f>IF(
K137&lt;&gt;"",
"",
IF(
IF(I137&lt;&gt;"",I137,H137)="",
"",
IF(
ValidationDate&gt;IF(I137&lt;&gt;"",I137,H137),
"متأخر",
""
)
)
)</f>
        <v/>
      </c>
      <c r="V137" s="14">
        <f>IF(
OR(
M137&lt;&gt;"في الموعد",
NOT(ISNUMBER(K137)),
NOT(ISNUMBER(H137))
),
"",
IF(
INT(K137)&gt;INT(H137),
"متأخر",
""
)
)</f>
        <v/>
      </c>
      <c r="W137" s="14">
        <f>IF(COUNT(F137:K137)=0,"",TEXT(IF(K137&lt;&gt;"",K137,IF(I137&lt;&gt;"",I137,IF(J137&lt;&gt;"",J137,IF(H137&lt;&gt;"",H137,IF(G137&lt;&gt;"",G137,F137))))),"[$-en-US]mmm"))</f>
        <v/>
      </c>
    </row>
    <row r="138">
      <c r="A138" s="14" t="n">
        <v>157</v>
      </c>
      <c r="B138" s="14" t="n">
        <v>1218</v>
      </c>
      <c r="C138" t="inlineStr">
        <is>
          <t>تشريع توضيحي 137</t>
        </is>
      </c>
      <c r="D138" s="14" t="inlineStr">
        <is>
          <t>التنمية المستدامة</t>
        </is>
      </c>
      <c r="E138" s="14" t="inlineStr">
        <is>
          <t>السياسات والاستراتيجيات الصحية والعدل</t>
        </is>
      </c>
      <c r="F138" s="268" t="n">
        <v>46244</v>
      </c>
      <c r="G138" s="268" t="n">
        <v>46244</v>
      </c>
      <c r="H138" s="268" t="n">
        <v>46262</v>
      </c>
      <c r="I138" s="268" t="n"/>
      <c r="J138" s="268" t="n">
        <v>46259</v>
      </c>
      <c r="K138" s="268" t="n">
        <v>46258</v>
      </c>
      <c r="L138" s="268" t="n">
        <v>46260</v>
      </c>
      <c r="M138" s="268" t="inlineStr">
        <is>
          <t>في الموعد</t>
        </is>
      </c>
      <c r="N138" s="268" t="n"/>
      <c r="O138" s="7" t="inlineStr">
        <is>
          <t>مغلق</t>
        </is>
      </c>
      <c r="P138" s="7" t="inlineStr">
        <is>
          <t>محلي</t>
        </is>
      </c>
      <c r="Q138" s="14" t="inlineStr">
        <is>
          <t>اللجنة العليا للتشريعات في إمارة دبي</t>
        </is>
      </c>
      <c r="R138" s="14" t="n"/>
      <c r="S138" s="14" t="n"/>
      <c r="T138" s="14" t="n">
        <v>2026</v>
      </c>
      <c r="U138" s="14">
        <f>IF(
K138&lt;&gt;"",
"",
IF(
IF(I138&lt;&gt;"",I138,H138)="",
"",
IF(
ValidationDate&gt;IF(I138&lt;&gt;"",I138,H138),
"متأخر",
""
)
)
)</f>
        <v/>
      </c>
      <c r="V138" s="14">
        <f>IF(
OR(
M138&lt;&gt;"في الموعد",
NOT(ISNUMBER(K138)),
NOT(ISNUMBER(H138))
),
"",
IF(
INT(K138)&gt;INT(H138),
"متأخر",
""
)
)</f>
        <v/>
      </c>
      <c r="W138" s="14">
        <f>IF(COUNT(F138:K138)=0,"",TEXT(IF(K138&lt;&gt;"",K138,IF(I138&lt;&gt;"",I138,IF(J138&lt;&gt;"",J138,IF(H138&lt;&gt;"",H138,IF(G138&lt;&gt;"",G138,F138))))),"[$-en-US]mmm"))</f>
        <v/>
      </c>
    </row>
    <row r="139">
      <c r="A139" s="14" t="n">
        <v>183</v>
      </c>
      <c r="B139" s="14" t="n">
        <v>1351</v>
      </c>
      <c r="C139" t="inlineStr">
        <is>
          <t>تشريع توضيحي 138</t>
        </is>
      </c>
      <c r="D139" s="14" t="inlineStr">
        <is>
          <t>التنمية المستدامة</t>
        </is>
      </c>
      <c r="E139" s="14" t="inlineStr">
        <is>
          <t>السياسات والاستراتيجيات الصحية والعدل</t>
        </is>
      </c>
      <c r="F139" s="268" t="n">
        <v>46275</v>
      </c>
      <c r="G139" s="268" t="n">
        <v>46275</v>
      </c>
      <c r="H139" s="268" t="n">
        <v>46297</v>
      </c>
      <c r="I139" s="268" t="n">
        <v>46304</v>
      </c>
      <c r="J139" s="268" t="n">
        <v>46294</v>
      </c>
      <c r="K139" s="268" t="n"/>
      <c r="L139" s="268" t="n"/>
      <c r="M139" s="268" t="inlineStr">
        <is>
          <t>قيد الإجراء</t>
        </is>
      </c>
      <c r="N139" s="268" t="n"/>
      <c r="O139" s="7" t="inlineStr">
        <is>
          <t xml:space="preserve">قيد الاعتماد </t>
        </is>
      </c>
      <c r="P139" s="7" t="inlineStr">
        <is>
          <t>محلي</t>
        </is>
      </c>
      <c r="Q139" s="14" t="inlineStr">
        <is>
          <t>اللجنة العليا للتشريعات في إمارة دبي</t>
        </is>
      </c>
      <c r="R139" s="14" t="n"/>
      <c r="S139" s="14" t="n"/>
      <c r="T139" s="14" t="n">
        <v>2026</v>
      </c>
      <c r="U139" s="14">
        <f>IF(
K139&lt;&gt;"",
"",
IF(
IF(I139&lt;&gt;"",I139,H139)="",
"",
IF(
ValidationDate&gt;IF(I139&lt;&gt;"",I139,H139),
"متأخر",
""
)
)
)</f>
        <v/>
      </c>
      <c r="V139" s="14">
        <f>IF(
OR(
M139&lt;&gt;"في الموعد",
NOT(ISNUMBER(K139)),
NOT(ISNUMBER(H139))
),
"",
IF(
INT(K139)&gt;INT(H139),
"متأخر",
""
)
)</f>
        <v/>
      </c>
      <c r="W139" s="14">
        <f>IF(COUNT(F139:K139)=0,"",TEXT(IF(K139&lt;&gt;"",K139,IF(I139&lt;&gt;"",I139,IF(J139&lt;&gt;"",J139,IF(H139&lt;&gt;"",H139,IF(G139&lt;&gt;"",G139,F139))))),"[$-en-US]mmm"))</f>
        <v/>
      </c>
    </row>
    <row r="140">
      <c r="A140" s="14" t="n">
        <v>195</v>
      </c>
      <c r="B140" s="14" t="n">
        <v>1235</v>
      </c>
      <c r="C140" t="inlineStr">
        <is>
          <t>تشريع توضيحي 139</t>
        </is>
      </c>
      <c r="D140" s="14" t="inlineStr">
        <is>
          <t>التنمية المستدامة</t>
        </is>
      </c>
      <c r="E140" s="14" t="inlineStr">
        <is>
          <t>السياسات والاستراتيجيات الصحية والعدل</t>
        </is>
      </c>
      <c r="F140" s="268" t="n">
        <v>46247</v>
      </c>
      <c r="G140" s="268" t="n">
        <v>46247</v>
      </c>
      <c r="H140" s="268" t="n">
        <v>46269</v>
      </c>
      <c r="I140" s="268" t="n"/>
      <c r="J140" s="268" t="n">
        <v>46266</v>
      </c>
      <c r="K140" s="268" t="n">
        <v>46268</v>
      </c>
      <c r="L140" s="268" t="n"/>
      <c r="M140" s="268" t="inlineStr">
        <is>
          <t>في الموعد</t>
        </is>
      </c>
      <c r="N140" s="268" t="n"/>
      <c r="O140" s="7" t="inlineStr">
        <is>
          <t xml:space="preserve">قيد الاعتماد </t>
        </is>
      </c>
      <c r="P140" s="7" t="inlineStr">
        <is>
          <t>محلي</t>
        </is>
      </c>
      <c r="Q140" s="14" t="inlineStr">
        <is>
          <t>اللجنة العليا للتشريعات في إمارة دبي</t>
        </is>
      </c>
      <c r="R140" s="14" t="n"/>
      <c r="S140" s="14" t="n"/>
      <c r="T140" s="14" t="n">
        <v>2026</v>
      </c>
      <c r="U140" s="14">
        <f>IF(
K140&lt;&gt;"",
"",
IF(
IF(I140&lt;&gt;"",I140,H140)="",
"",
IF(
ValidationDate&gt;IF(I140&lt;&gt;"",I140,H140),
"متأخر",
""
)
)
)</f>
        <v/>
      </c>
      <c r="V140" s="14">
        <f>IF(
OR(
M140&lt;&gt;"في الموعد",
NOT(ISNUMBER(K140)),
NOT(ISNUMBER(H140))
),
"",
IF(
INT(K140)&gt;INT(H140),
"متأخر",
""
)
)</f>
        <v/>
      </c>
      <c r="W140" s="14">
        <f>IF(COUNT(F140:K140)=0,"",TEXT(IF(K140&lt;&gt;"",K140,IF(I140&lt;&gt;"",I140,IF(J140&lt;&gt;"",J140,IF(H140&lt;&gt;"",H140,IF(G140&lt;&gt;"",G140,F140))))),"[$-en-US]mmm"))</f>
        <v/>
      </c>
    </row>
    <row r="141">
      <c r="A141" s="14" t="n">
        <v>16</v>
      </c>
      <c r="B141" s="14" t="n">
        <v>180</v>
      </c>
      <c r="C141" t="inlineStr">
        <is>
          <t>تشريع توضيحي 140</t>
        </is>
      </c>
      <c r="D141" s="14" t="inlineStr">
        <is>
          <t>الحوكمة</t>
        </is>
      </c>
      <c r="E141" s="14" t="inlineStr">
        <is>
          <t>التشريعات الحكومية</t>
        </is>
      </c>
      <c r="F141" s="268" t="n">
        <v>46057</v>
      </c>
      <c r="G141" s="268" t="n">
        <v>46057</v>
      </c>
      <c r="H141" s="268" t="n">
        <v>46073</v>
      </c>
      <c r="I141" s="268" t="n"/>
      <c r="J141" s="268" t="n">
        <v>46072</v>
      </c>
      <c r="K141" s="268" t="n">
        <v>46070</v>
      </c>
      <c r="L141" s="268" t="n">
        <v>46076</v>
      </c>
      <c r="M141" s="268" t="inlineStr">
        <is>
          <t>في الموعد</t>
        </is>
      </c>
      <c r="N141" s="268" t="n"/>
      <c r="O141" s="7" t="inlineStr">
        <is>
          <t>مغلق</t>
        </is>
      </c>
      <c r="P141" s="7" t="inlineStr">
        <is>
          <t>محلي</t>
        </is>
      </c>
      <c r="Q141" s="14" t="inlineStr">
        <is>
          <t>اللجنة العليا للتشريعات في إمارة دبي</t>
        </is>
      </c>
      <c r="R141" s="14" t="n"/>
      <c r="S141" s="14" t="n"/>
      <c r="T141" s="14" t="n">
        <v>2026</v>
      </c>
      <c r="U141" s="14">
        <f>IF(
K141&lt;&gt;"",
"",
IF(
IF(I141&lt;&gt;"",I141,H141)="",
"",
IF(
ValidationDate&gt;IF(I141&lt;&gt;"",I141,H141),
"متأخر",
""
)
)
)</f>
        <v/>
      </c>
      <c r="V141" s="14">
        <f>IF(
OR(
M141&lt;&gt;"في الموعد",
NOT(ISNUMBER(K141)),
NOT(ISNUMBER(H141))
),
"",
IF(
INT(K141)&gt;INT(H141),
"متأخر",
""
)
)</f>
        <v/>
      </c>
      <c r="W141" s="14">
        <f>IF(COUNT(F141:K141)=0,"",TEXT(IF(K141&lt;&gt;"",K141,IF(I141&lt;&gt;"",I141,IF(J141&lt;&gt;"",J141,IF(H141&lt;&gt;"",H141,IF(G141&lt;&gt;"",G141,F141))))),"[$-en-US]mmm"))</f>
        <v/>
      </c>
    </row>
    <row r="142">
      <c r="A142" s="14" t="n">
        <v>19</v>
      </c>
      <c r="B142" s="14" t="n">
        <v>206</v>
      </c>
      <c r="C142" t="inlineStr">
        <is>
          <t>تشريع توضيحي 141</t>
        </is>
      </c>
      <c r="D142" s="14" t="inlineStr">
        <is>
          <t>الحوكمة</t>
        </is>
      </c>
      <c r="E142" s="14" t="inlineStr">
        <is>
          <t>التشريعات الحكومية</t>
        </is>
      </c>
      <c r="F142" s="268" t="n">
        <v>46063</v>
      </c>
      <c r="G142" s="268" t="n">
        <v>46063</v>
      </c>
      <c r="H142" s="268" t="n">
        <v>46105</v>
      </c>
      <c r="I142" s="268" t="n"/>
      <c r="J142" s="268" t="n">
        <v>46099</v>
      </c>
      <c r="K142" s="268" t="n">
        <v>46104</v>
      </c>
      <c r="L142" s="268" t="n">
        <v>46107</v>
      </c>
      <c r="M142" s="268" t="inlineStr">
        <is>
          <t>في الموعد</t>
        </is>
      </c>
      <c r="N142" s="268" t="n"/>
      <c r="O142" s="7" t="inlineStr">
        <is>
          <t>مغلق</t>
        </is>
      </c>
      <c r="P142" s="7" t="inlineStr">
        <is>
          <t>محلي</t>
        </is>
      </c>
      <c r="Q142" s="14" t="inlineStr">
        <is>
          <t>اللجنة العليا للتشريعات في إمارة دبي</t>
        </is>
      </c>
      <c r="R142" s="14" t="n"/>
      <c r="S142" s="14" t="n"/>
      <c r="T142" s="14" t="n">
        <v>2026</v>
      </c>
      <c r="U142" s="14">
        <f>IF(
K142&lt;&gt;"",
"",
IF(
IF(I142&lt;&gt;"",I142,H142)="",
"",
IF(
ValidationDate&gt;IF(I142&lt;&gt;"",I142,H142),
"متأخر",
""
)
)
)</f>
        <v/>
      </c>
      <c r="V142" s="14">
        <f>IF(
OR(
M142&lt;&gt;"في الموعد",
NOT(ISNUMBER(K142)),
NOT(ISNUMBER(H142))
),
"",
IF(
INT(K142)&gt;INT(H142),
"متأخر",
""
)
)</f>
        <v/>
      </c>
      <c r="W142" s="14">
        <f>IF(COUNT(F142:K142)=0,"",TEXT(IF(K142&lt;&gt;"",K142,IF(I142&lt;&gt;"",I142,IF(J142&lt;&gt;"",J142,IF(H142&lt;&gt;"",H142,IF(G142&lt;&gt;"",G142,F142))))),"[$-en-US]mmm"))</f>
        <v/>
      </c>
    </row>
    <row r="143">
      <c r="A143" s="14" t="n">
        <v>44</v>
      </c>
      <c r="B143" s="14" t="n">
        <v>420</v>
      </c>
      <c r="C143" t="inlineStr">
        <is>
          <t>تشريع توضيحي 142</t>
        </is>
      </c>
      <c r="D143" s="14" t="inlineStr">
        <is>
          <t>الحوكمة</t>
        </is>
      </c>
      <c r="E143" s="14" t="inlineStr">
        <is>
          <t>التشريعات الحكومية</t>
        </is>
      </c>
      <c r="F143" s="268" t="n">
        <v>46097</v>
      </c>
      <c r="G143" s="268" t="n">
        <v>46099</v>
      </c>
      <c r="H143" s="268" t="n">
        <v>46122</v>
      </c>
      <c r="I143" s="268" t="n"/>
      <c r="J143" s="268" t="n">
        <v>46120</v>
      </c>
      <c r="K143" s="268" t="n">
        <v>46106</v>
      </c>
      <c r="L143" s="268" t="n">
        <v>46107</v>
      </c>
      <c r="M143" s="268" t="inlineStr">
        <is>
          <t>في الموعد</t>
        </is>
      </c>
      <c r="N143" s="268" t="n"/>
      <c r="O143" s="7" t="inlineStr">
        <is>
          <t>مغلق</t>
        </is>
      </c>
      <c r="P143" s="7" t="inlineStr">
        <is>
          <t>محلي</t>
        </is>
      </c>
      <c r="Q143" s="14" t="inlineStr">
        <is>
          <t>اللجنة العليا للتشريعات في إمارة دبي</t>
        </is>
      </c>
      <c r="R143" s="14" t="n"/>
      <c r="S143" s="14" t="n"/>
      <c r="T143" s="14" t="n">
        <v>2026</v>
      </c>
      <c r="U143" s="14">
        <f>IF(
K143&lt;&gt;"",
"",
IF(
IF(I143&lt;&gt;"",I143,H143)="",
"",
IF(
ValidationDate&gt;IF(I143&lt;&gt;"",I143,H143),
"متأخر",
""
)
)
)</f>
        <v/>
      </c>
      <c r="V143" s="14">
        <f>IF(
OR(
M143&lt;&gt;"في الموعد",
NOT(ISNUMBER(K143)),
NOT(ISNUMBER(H143))
),
"",
IF(
INT(K143)&gt;INT(H143),
"متأخر",
""
)
)</f>
        <v/>
      </c>
      <c r="W143" s="14">
        <f>IF(COUNT(F143:K143)=0,"",TEXT(IF(K143&lt;&gt;"",K143,IF(I143&lt;&gt;"",I143,IF(J143&lt;&gt;"",J143,IF(H143&lt;&gt;"",H143,IF(G143&lt;&gt;"",G143,F143))))),"[$-en-US]mmm"))</f>
        <v/>
      </c>
    </row>
    <row r="144">
      <c r="A144" s="14" t="n">
        <v>63</v>
      </c>
      <c r="B144" s="14" t="n">
        <v>583</v>
      </c>
      <c r="C144" t="inlineStr">
        <is>
          <t>تشريع توضيحي 143</t>
        </is>
      </c>
      <c r="D144" s="14" t="inlineStr">
        <is>
          <t>الحوكمة</t>
        </is>
      </c>
      <c r="E144" s="14" t="inlineStr">
        <is>
          <t>التشريعات الحكومية</t>
        </is>
      </c>
      <c r="F144" s="268" t="n">
        <v>46133</v>
      </c>
      <c r="G144" s="268" t="n">
        <v>46133</v>
      </c>
      <c r="H144" s="268" t="n">
        <v>46143</v>
      </c>
      <c r="I144" s="268" t="n"/>
      <c r="J144" s="268" t="n">
        <v>46140</v>
      </c>
      <c r="K144" s="268" t="n">
        <v>46135</v>
      </c>
      <c r="L144" s="268" t="n">
        <v>46136</v>
      </c>
      <c r="M144" s="268" t="inlineStr">
        <is>
          <t>في الموعد</t>
        </is>
      </c>
      <c r="N144" s="268" t="n"/>
      <c r="O144" s="7" t="inlineStr">
        <is>
          <t>مغلق</t>
        </is>
      </c>
      <c r="P144" s="7" t="inlineStr">
        <is>
          <t>محلي</t>
        </is>
      </c>
      <c r="Q144" s="14" t="inlineStr">
        <is>
          <t>اللجنة العليا للتشريعات في إمارة دبي</t>
        </is>
      </c>
      <c r="R144" s="14" t="n"/>
      <c r="S144" s="14" t="n"/>
      <c r="T144" s="14" t="n">
        <v>2026</v>
      </c>
      <c r="U144" s="14">
        <f>IF(
K144&lt;&gt;"",
"",
IF(
IF(I144&lt;&gt;"",I144,H144)="",
"",
IF(
ValidationDate&gt;IF(I144&lt;&gt;"",I144,H144),
"متأخر",
""
)
)
)</f>
        <v/>
      </c>
      <c r="V144" s="14">
        <f>IF(
OR(
M144&lt;&gt;"في الموعد",
NOT(ISNUMBER(K144)),
NOT(ISNUMBER(H144))
),
"",
IF(
INT(K144)&gt;INT(H144),
"متأخر",
""
)
)</f>
        <v/>
      </c>
      <c r="W144" s="14">
        <f>IF(COUNT(F144:K144)=0,"",TEXT(IF(K144&lt;&gt;"",K144,IF(I144&lt;&gt;"",I144,IF(J144&lt;&gt;"",J144,IF(H144&lt;&gt;"",H144,IF(G144&lt;&gt;"",G144,F144))))),"[$-en-US]mmm"))</f>
        <v/>
      </c>
    </row>
    <row r="145">
      <c r="A145" s="14" t="n">
        <v>65</v>
      </c>
      <c r="B145" s="14" t="n">
        <v>590</v>
      </c>
      <c r="C145" t="inlineStr">
        <is>
          <t>تشريع توضيحي 144</t>
        </is>
      </c>
      <c r="D145" s="14" t="inlineStr">
        <is>
          <t>الحوكمة</t>
        </is>
      </c>
      <c r="E145" s="14" t="inlineStr">
        <is>
          <t>التشريعات الحكومية</t>
        </is>
      </c>
      <c r="F145" s="268" t="n">
        <v>46133</v>
      </c>
      <c r="G145" s="268" t="n">
        <v>46133</v>
      </c>
      <c r="H145" s="268" t="n">
        <v>46157</v>
      </c>
      <c r="I145" s="268" t="n"/>
      <c r="J145" s="268" t="n">
        <v>46154</v>
      </c>
      <c r="K145" s="268" t="n">
        <v>46155</v>
      </c>
      <c r="L145" s="268" t="n">
        <v>46156</v>
      </c>
      <c r="M145" s="268" t="inlineStr">
        <is>
          <t>في الموعد</t>
        </is>
      </c>
      <c r="N145" s="268" t="n"/>
      <c r="O145" s="7" t="inlineStr">
        <is>
          <t>مغلق</t>
        </is>
      </c>
      <c r="P145" s="7" t="inlineStr">
        <is>
          <t>محلي</t>
        </is>
      </c>
      <c r="Q145" s="14" t="inlineStr">
        <is>
          <t>اللجنة العليا للتشريعات في إمارة دبي</t>
        </is>
      </c>
      <c r="R145" s="14" t="n"/>
      <c r="S145" s="14" t="n"/>
      <c r="T145" s="14" t="n">
        <v>2026</v>
      </c>
      <c r="U145" s="14">
        <f>IF(
K145&lt;&gt;"",
"",
IF(
IF(I145&lt;&gt;"",I145,H145)="",
"",
IF(
ValidationDate&gt;IF(I145&lt;&gt;"",I145,H145),
"متأخر",
""
)
)
)</f>
        <v/>
      </c>
      <c r="V145" s="14">
        <f>IF(
OR(
M145&lt;&gt;"في الموعد",
NOT(ISNUMBER(K145)),
NOT(ISNUMBER(H145))
),
"",
IF(
INT(K145)&gt;INT(H145),
"متأخر",
""
)
)</f>
        <v/>
      </c>
      <c r="W145" s="14">
        <f>IF(COUNT(F145:K145)=0,"",TEXT(IF(K145&lt;&gt;"",K145,IF(I145&lt;&gt;"",I145,IF(J145&lt;&gt;"",J145,IF(H145&lt;&gt;"",H145,IF(G145&lt;&gt;"",G145,F145))))),"[$-en-US]mmm"))</f>
        <v/>
      </c>
    </row>
    <row r="146">
      <c r="A146" s="14" t="n">
        <v>114</v>
      </c>
      <c r="B146" s="14" t="n">
        <v>903</v>
      </c>
      <c r="C146" t="inlineStr">
        <is>
          <t>تشريع توضيحي 145</t>
        </is>
      </c>
      <c r="D146" s="14" t="inlineStr">
        <is>
          <t>الحوكمة</t>
        </is>
      </c>
      <c r="E146" s="14" t="inlineStr">
        <is>
          <t>التشريعات الحكومية</t>
        </is>
      </c>
      <c r="F146" s="268" t="n">
        <v>46190</v>
      </c>
      <c r="G146" s="268" t="n">
        <v>46190</v>
      </c>
      <c r="H146" s="268" t="n">
        <v>46206</v>
      </c>
      <c r="I146" s="268" t="n">
        <v>46241</v>
      </c>
      <c r="J146" s="268" t="n">
        <v>46218</v>
      </c>
      <c r="K146" s="268" t="n">
        <v>46202</v>
      </c>
      <c r="L146" s="268" t="n"/>
      <c r="M146" s="268" t="inlineStr">
        <is>
          <t>في الموعد</t>
        </is>
      </c>
      <c r="N146" s="268" t="n"/>
      <c r="O146" s="7" t="inlineStr">
        <is>
          <t xml:space="preserve">قيد الاعتماد </t>
        </is>
      </c>
      <c r="P146" s="7" t="inlineStr">
        <is>
          <t>محلي</t>
        </is>
      </c>
      <c r="Q146" s="14" t="inlineStr">
        <is>
          <t>اللجنة العليا للتشريعات في إمارة دبي</t>
        </is>
      </c>
      <c r="R146" s="14" t="n"/>
      <c r="S146" s="14" t="n"/>
      <c r="T146" s="14" t="n">
        <v>2026</v>
      </c>
      <c r="U146" s="14">
        <f>IF(
K146&lt;&gt;"",
"",
IF(
IF(I146&lt;&gt;"",I146,H146)="",
"",
IF(
ValidationDate&gt;IF(I146&lt;&gt;"",I146,H146),
"متأخر",
""
)
)
)</f>
        <v/>
      </c>
      <c r="V146" s="14">
        <f>IF(
OR(
M146&lt;&gt;"في الموعد",
NOT(ISNUMBER(K146)),
NOT(ISNUMBER(H146))
),
"",
IF(
INT(K146)&gt;INT(H146),
"متأخر",
""
)
)</f>
        <v/>
      </c>
      <c r="W146" s="14">
        <f>IF(COUNT(F146:K146)=0,"",TEXT(IF(K146&lt;&gt;"",K146,IF(I146&lt;&gt;"",I146,IF(J146&lt;&gt;"",J146,IF(H146&lt;&gt;"",H146,IF(G146&lt;&gt;"",G146,F146))))),"[$-en-US]mmm"))</f>
        <v/>
      </c>
    </row>
    <row r="147">
      <c r="A147" s="14" t="n">
        <v>7</v>
      </c>
      <c r="B147" s="14" t="n">
        <v>151</v>
      </c>
      <c r="C147" t="inlineStr">
        <is>
          <t>تشريع توضيحي 146</t>
        </is>
      </c>
      <c r="D147" s="14" t="inlineStr">
        <is>
          <t>الحوكمة</t>
        </is>
      </c>
      <c r="E147" s="14" t="inlineStr">
        <is>
          <t>الحوكمة</t>
        </is>
      </c>
      <c r="F147" s="268" t="n">
        <v>46051</v>
      </c>
      <c r="G147" s="268" t="n">
        <v>46051</v>
      </c>
      <c r="H147" s="268" t="n">
        <v>46073</v>
      </c>
      <c r="I147" s="268" t="n"/>
      <c r="J147" s="268" t="n">
        <v>46072</v>
      </c>
      <c r="K147" s="268" t="n">
        <v>46069</v>
      </c>
      <c r="L147" s="268" t="n">
        <v>46073</v>
      </c>
      <c r="M147" s="268" t="inlineStr">
        <is>
          <t>في الموعد</t>
        </is>
      </c>
      <c r="N147" s="268" t="n"/>
      <c r="O147" s="7" t="inlineStr">
        <is>
          <t>مغلق</t>
        </is>
      </c>
      <c r="P147" s="7" t="inlineStr">
        <is>
          <t>محلي</t>
        </is>
      </c>
      <c r="Q147" s="14" t="inlineStr">
        <is>
          <t>اللجنة العليا للتشريعات في إمارة دبي</t>
        </is>
      </c>
      <c r="R147" s="14" t="n"/>
      <c r="S147" s="14" t="n"/>
      <c r="T147" s="14" t="n">
        <v>2026</v>
      </c>
      <c r="U147" s="14">
        <f>IF(
K147&lt;&gt;"",
"",
IF(
IF(I147&lt;&gt;"",I147,H147)="",
"",
IF(
ValidationDate&gt;IF(I147&lt;&gt;"",I147,H147),
"متأخر",
""
)
)
)</f>
        <v/>
      </c>
      <c r="V147" s="14">
        <f>IF(
OR(
M147&lt;&gt;"في الموعد",
NOT(ISNUMBER(K147)),
NOT(ISNUMBER(H147))
),
"",
IF(
INT(K147)&gt;INT(H147),
"متأخر",
""
)
)</f>
        <v/>
      </c>
      <c r="W147" s="14">
        <f>IF(COUNT(F147:K147)=0,"",TEXT(IF(K147&lt;&gt;"",K147,IF(I147&lt;&gt;"",I147,IF(J147&lt;&gt;"",J147,IF(H147&lt;&gt;"",H147,IF(G147&lt;&gt;"",G147,F147))))),"[$-en-US]mmm"))</f>
        <v/>
      </c>
    </row>
    <row r="148">
      <c r="A148" s="14" t="n">
        <v>28</v>
      </c>
      <c r="B148" s="14" t="n">
        <v>285</v>
      </c>
      <c r="C148" t="inlineStr">
        <is>
          <t>تشريع توضيحي 147</t>
        </is>
      </c>
      <c r="D148" s="14" t="inlineStr">
        <is>
          <t>الحوكمة</t>
        </is>
      </c>
      <c r="E148" s="14" t="inlineStr">
        <is>
          <t>الحوكمة</t>
        </is>
      </c>
      <c r="F148" s="268" t="n">
        <v>46073</v>
      </c>
      <c r="G148" s="268" t="n">
        <v>46073</v>
      </c>
      <c r="H148" s="268" t="n">
        <v>46087</v>
      </c>
      <c r="I148" s="268" t="n"/>
      <c r="J148" s="268" t="n">
        <v>46084</v>
      </c>
      <c r="K148" s="268" t="n">
        <v>46080</v>
      </c>
      <c r="L148" s="268" t="n">
        <v>46083</v>
      </c>
      <c r="M148" s="268" t="inlineStr">
        <is>
          <t>في الموعد</t>
        </is>
      </c>
      <c r="N148" s="268" t="n"/>
      <c r="O148" s="7" t="inlineStr">
        <is>
          <t>مغلق</t>
        </is>
      </c>
      <c r="P148" s="7" t="inlineStr">
        <is>
          <t>محلي</t>
        </is>
      </c>
      <c r="Q148" s="14" t="inlineStr">
        <is>
          <t>اللجنة العليا للتشريعات في إمارة دبي</t>
        </is>
      </c>
      <c r="R148" s="14" t="n"/>
      <c r="S148" s="14" t="n"/>
      <c r="T148" s="14" t="n">
        <v>2026</v>
      </c>
      <c r="U148" s="14">
        <f>IF(
K148&lt;&gt;"",
"",
IF(
IF(I148&lt;&gt;"",I148,H148)="",
"",
IF(
ValidationDate&gt;IF(I148&lt;&gt;"",I148,H148),
"متأخر",
""
)
)
)</f>
        <v/>
      </c>
      <c r="V148" s="14">
        <f>IF(
OR(
M148&lt;&gt;"في الموعد",
NOT(ISNUMBER(K148)),
NOT(ISNUMBER(H148))
),
"",
IF(
INT(K148)&gt;INT(H148),
"متأخر",
""
)
)</f>
        <v/>
      </c>
      <c r="W148" s="14">
        <f>IF(COUNT(F148:K148)=0,"",TEXT(IF(K148&lt;&gt;"",K148,IF(I148&lt;&gt;"",I148,IF(J148&lt;&gt;"",J148,IF(H148&lt;&gt;"",H148,IF(G148&lt;&gt;"",G148,F148))))),"[$-en-US]mmm"))</f>
        <v/>
      </c>
    </row>
    <row r="149">
      <c r="A149" s="14" t="n">
        <v>30</v>
      </c>
      <c r="B149" s="14" t="n">
        <v>288</v>
      </c>
      <c r="C149" t="inlineStr">
        <is>
          <t>تشريع توضيحي 148</t>
        </is>
      </c>
      <c r="D149" s="14" t="inlineStr">
        <is>
          <t>الحوكمة</t>
        </is>
      </c>
      <c r="E149" s="14" t="inlineStr">
        <is>
          <t>الحوكمة</t>
        </is>
      </c>
      <c r="F149" s="268" t="n">
        <v>46076</v>
      </c>
      <c r="G149" s="268" t="n">
        <v>46076</v>
      </c>
      <c r="H149" s="268" t="n">
        <v>46101</v>
      </c>
      <c r="I149" s="268" t="n"/>
      <c r="J149" s="268" t="n">
        <v>46098</v>
      </c>
      <c r="K149" s="268" t="n">
        <v>46087</v>
      </c>
      <c r="L149" s="268" t="n">
        <v>46090</v>
      </c>
      <c r="M149" s="268" t="inlineStr">
        <is>
          <t>في الموعد</t>
        </is>
      </c>
      <c r="N149" s="268" t="n"/>
      <c r="O149" s="7" t="inlineStr">
        <is>
          <t>مغلق</t>
        </is>
      </c>
      <c r="P149" s="7" t="inlineStr">
        <is>
          <t>محلي</t>
        </is>
      </c>
      <c r="Q149" s="14" t="inlineStr">
        <is>
          <t>اللجنة العليا للتشريعات في إمارة دبي</t>
        </is>
      </c>
      <c r="R149" s="14" t="n"/>
      <c r="S149" s="14" t="n"/>
      <c r="T149" s="14" t="n">
        <v>2026</v>
      </c>
      <c r="U149" s="14">
        <f>IF(
K149&lt;&gt;"",
"",
IF(
IF(I149&lt;&gt;"",I149,H149)="",
"",
IF(
ValidationDate&gt;IF(I149&lt;&gt;"",I149,H149),
"متأخر",
""
)
)
)</f>
        <v/>
      </c>
      <c r="V149" s="14">
        <f>IF(
OR(
M149&lt;&gt;"في الموعد",
NOT(ISNUMBER(K149)),
NOT(ISNUMBER(H149))
),
"",
IF(
INT(K149)&gt;INT(H149),
"متأخر",
""
)
)</f>
        <v/>
      </c>
      <c r="W149" s="14">
        <f>IF(COUNT(F149:K149)=0,"",TEXT(IF(K149&lt;&gt;"",K149,IF(I149&lt;&gt;"",I149,IF(J149&lt;&gt;"",J149,IF(H149&lt;&gt;"",H149,IF(G149&lt;&gt;"",G149,F149))))),"[$-en-US]mmm"))</f>
        <v/>
      </c>
    </row>
    <row r="150">
      <c r="A150" s="14" t="n">
        <v>32</v>
      </c>
      <c r="B150" s="14" t="n">
        <v>290</v>
      </c>
      <c r="C150" t="inlineStr">
        <is>
          <t>تشريع توضيحي 149</t>
        </is>
      </c>
      <c r="D150" s="14" t="inlineStr">
        <is>
          <t>الحوكمة</t>
        </is>
      </c>
      <c r="E150" s="14" t="inlineStr">
        <is>
          <t>الحوكمة</t>
        </is>
      </c>
      <c r="F150" s="268" t="n">
        <v>46076</v>
      </c>
      <c r="G150" s="268" t="n">
        <v>46076</v>
      </c>
      <c r="H150" s="268" t="n">
        <v>46084</v>
      </c>
      <c r="I150" s="268" t="n">
        <v>46098</v>
      </c>
      <c r="J150" s="268" t="n">
        <v>46084</v>
      </c>
      <c r="K150" s="268" t="n">
        <v>46097</v>
      </c>
      <c r="L150" s="268" t="n">
        <v>46098</v>
      </c>
      <c r="M150" s="268" t="inlineStr">
        <is>
          <t>في الموعد</t>
        </is>
      </c>
      <c r="N150" s="268" t="n"/>
      <c r="O150" s="7" t="inlineStr">
        <is>
          <t>مغلق</t>
        </is>
      </c>
      <c r="P150" s="7" t="inlineStr">
        <is>
          <t>محلي</t>
        </is>
      </c>
      <c r="Q150" s="14" t="inlineStr">
        <is>
          <t>اللجنة العليا للتشريعات في إمارة دبي</t>
        </is>
      </c>
      <c r="R150" s="14" t="n"/>
      <c r="S150" s="14" t="n"/>
      <c r="T150" s="14" t="n">
        <v>2026</v>
      </c>
      <c r="U150" s="14">
        <f>IF(
K150&lt;&gt;"",
"",
IF(
IF(I150&lt;&gt;"",I150,H150)="",
"",
IF(
ValidationDate&gt;IF(I150&lt;&gt;"",I150,H150),
"متأخر",
""
)
)
)</f>
        <v/>
      </c>
      <c r="V150" s="14">
        <f>IF(
OR(
M150&lt;&gt;"في الموعد",
NOT(ISNUMBER(K150)),
NOT(ISNUMBER(H150))
),
"",
IF(
INT(K150)&gt;INT(H150),
"متأخر",
""
)
)</f>
        <v/>
      </c>
      <c r="W150" s="14">
        <f>IF(COUNT(F150:K150)=0,"",TEXT(IF(K150&lt;&gt;"",K150,IF(I150&lt;&gt;"",I150,IF(J150&lt;&gt;"",J150,IF(H150&lt;&gt;"",H150,IF(G150&lt;&gt;"",G150,F150))))),"[$-en-US]mmm"))</f>
        <v/>
      </c>
    </row>
    <row r="151">
      <c r="A151" s="14" t="n">
        <v>38</v>
      </c>
      <c r="B151" s="14" t="n">
        <v>363</v>
      </c>
      <c r="C151" t="inlineStr">
        <is>
          <t>تشريع توضيحي 150</t>
        </is>
      </c>
      <c r="D151" s="14" t="inlineStr">
        <is>
          <t>الحوكمة</t>
        </is>
      </c>
      <c r="E151" s="14" t="inlineStr">
        <is>
          <t>الحوكمة</t>
        </is>
      </c>
      <c r="F151" s="268" t="n">
        <v>46086</v>
      </c>
      <c r="G151" s="268" t="n">
        <v>46087</v>
      </c>
      <c r="H151" s="268" t="n">
        <v>46108</v>
      </c>
      <c r="I151" s="268" t="n">
        <v>46115</v>
      </c>
      <c r="J151" s="268" t="n">
        <v>46105</v>
      </c>
      <c r="K151" s="268" t="n">
        <v>46108</v>
      </c>
      <c r="L151" s="268" t="n">
        <v>46111</v>
      </c>
      <c r="M151" s="268" t="inlineStr">
        <is>
          <t>في الموعد</t>
        </is>
      </c>
      <c r="N151" s="268" t="n"/>
      <c r="O151" s="7" t="inlineStr">
        <is>
          <t>مغلق</t>
        </is>
      </c>
      <c r="P151" s="7" t="inlineStr">
        <is>
          <t>محلي</t>
        </is>
      </c>
      <c r="Q151" s="14" t="inlineStr">
        <is>
          <t>اللجنة العليا للتشريعات في إمارة دبي</t>
        </is>
      </c>
      <c r="R151" s="14" t="n"/>
      <c r="S151" s="14" t="n"/>
      <c r="T151" s="14" t="n">
        <v>2026</v>
      </c>
      <c r="U151" s="14">
        <f>IF(
K151&lt;&gt;"",
"",
IF(
IF(I151&lt;&gt;"",I151,H151)="",
"",
IF(
ValidationDate&gt;IF(I151&lt;&gt;"",I151,H151),
"متأخر",
""
)
)
)</f>
        <v/>
      </c>
      <c r="V151" s="14">
        <f>IF(
OR(
M151&lt;&gt;"في الموعد",
NOT(ISNUMBER(K151)),
NOT(ISNUMBER(H151))
),
"",
IF(
INT(K151)&gt;INT(H151),
"متأخر",
""
)
)</f>
        <v/>
      </c>
      <c r="W151" s="14">
        <f>IF(COUNT(F151:K151)=0,"",TEXT(IF(K151&lt;&gt;"",K151,IF(I151&lt;&gt;"",I151,IF(J151&lt;&gt;"",J151,IF(H151&lt;&gt;"",H151,IF(G151&lt;&gt;"",G151,F151))))),"[$-en-US]mmm"))</f>
        <v/>
      </c>
    </row>
    <row r="152">
      <c r="A152" s="14" t="n">
        <v>48</v>
      </c>
      <c r="B152" s="14" t="n">
        <v>462</v>
      </c>
      <c r="C152" t="inlineStr">
        <is>
          <t>تشريع توضيحي 151</t>
        </is>
      </c>
      <c r="D152" s="14" t="inlineStr">
        <is>
          <t>الحوكمة</t>
        </is>
      </c>
      <c r="E152" s="14" t="inlineStr">
        <is>
          <t>الحوكمة</t>
        </is>
      </c>
      <c r="F152" s="268" t="n">
        <v>46108</v>
      </c>
      <c r="G152" s="268" t="n">
        <v>46108</v>
      </c>
      <c r="H152" s="268" t="n">
        <v>46111</v>
      </c>
      <c r="I152" s="268" t="n"/>
      <c r="J152" s="268" t="n">
        <v>46111</v>
      </c>
      <c r="K152" s="268" t="n">
        <v>46111</v>
      </c>
      <c r="L152" s="268" t="n">
        <v>46113</v>
      </c>
      <c r="M152" s="268" t="inlineStr">
        <is>
          <t>في الموعد</t>
        </is>
      </c>
      <c r="N152" s="268" t="n"/>
      <c r="O152" s="7" t="inlineStr">
        <is>
          <t>مغلق</t>
        </is>
      </c>
      <c r="P152" s="7" t="inlineStr">
        <is>
          <t>محلي</t>
        </is>
      </c>
      <c r="Q152" s="14" t="inlineStr">
        <is>
          <t>اللجنة العليا للتشريعات في إمارة دبي</t>
        </is>
      </c>
      <c r="R152" s="14" t="n"/>
      <c r="S152" s="14" t="n"/>
      <c r="T152" s="14" t="n">
        <v>2026</v>
      </c>
      <c r="U152" s="14">
        <f>IF(
K152&lt;&gt;"",
"",
IF(
IF(I152&lt;&gt;"",I152,H152)="",
"",
IF(
ValidationDate&gt;IF(I152&lt;&gt;"",I152,H152),
"متأخر",
""
)
)
)</f>
        <v/>
      </c>
      <c r="V152" s="14">
        <f>IF(
OR(
M152&lt;&gt;"في الموعد",
NOT(ISNUMBER(K152)),
NOT(ISNUMBER(H152))
),
"",
IF(
INT(K152)&gt;INT(H152),
"متأخر",
""
)
)</f>
        <v/>
      </c>
      <c r="W152" s="14">
        <f>IF(COUNT(F152:K152)=0,"",TEXT(IF(K152&lt;&gt;"",K152,IF(I152&lt;&gt;"",I152,IF(J152&lt;&gt;"",J152,IF(H152&lt;&gt;"",H152,IF(G152&lt;&gt;"",G152,F152))))),"[$-en-US]mmm"))</f>
        <v/>
      </c>
    </row>
    <row r="153">
      <c r="A153" s="14" t="n">
        <v>50</v>
      </c>
      <c r="B153" s="14" t="n">
        <v>498</v>
      </c>
      <c r="C153" t="inlineStr">
        <is>
          <t>تشريع توضيحي 152</t>
        </is>
      </c>
      <c r="D153" s="14" t="inlineStr">
        <is>
          <t>الحوكمة</t>
        </is>
      </c>
      <c r="E153" s="14" t="inlineStr">
        <is>
          <t>الحوكمة</t>
        </is>
      </c>
      <c r="F153" s="268" t="n">
        <v>46115</v>
      </c>
      <c r="G153" s="268" t="n">
        <v>46118</v>
      </c>
      <c r="H153" s="268" t="n">
        <v>46143</v>
      </c>
      <c r="I153" s="268" t="n"/>
      <c r="J153" s="268" t="n">
        <v>46140</v>
      </c>
      <c r="K153" s="268" t="n">
        <v>46139</v>
      </c>
      <c r="L153" s="268" t="n">
        <v>46141</v>
      </c>
      <c r="M153" s="268" t="inlineStr">
        <is>
          <t>في الموعد</t>
        </is>
      </c>
      <c r="N153" s="268" t="n"/>
      <c r="O153" s="7" t="inlineStr">
        <is>
          <t>مغلق</t>
        </is>
      </c>
      <c r="P153" s="7" t="inlineStr">
        <is>
          <t>محلي</t>
        </is>
      </c>
      <c r="Q153" s="14" t="inlineStr">
        <is>
          <t>اللجنة العليا للتشريعات في إمارة دبي</t>
        </is>
      </c>
      <c r="R153" s="14" t="n"/>
      <c r="S153" s="14" t="n"/>
      <c r="T153" s="14" t="n">
        <v>2026</v>
      </c>
      <c r="U153" s="14">
        <f>IF(
K153&lt;&gt;"",
"",
IF(
IF(I153&lt;&gt;"",I153,H153)="",
"",
IF(
ValidationDate&gt;IF(I153&lt;&gt;"",I153,H153),
"متأخر",
""
)
)
)</f>
        <v/>
      </c>
      <c r="V153" s="14">
        <f>IF(
OR(
M153&lt;&gt;"في الموعد",
NOT(ISNUMBER(K153)),
NOT(ISNUMBER(H153))
),
"",
IF(
INT(K153)&gt;INT(H153),
"متأخر",
""
)
)</f>
        <v/>
      </c>
      <c r="W153" s="14">
        <f>IF(COUNT(F153:K153)=0,"",TEXT(IF(K153&lt;&gt;"",K153,IF(I153&lt;&gt;"",I153,IF(J153&lt;&gt;"",J153,IF(H153&lt;&gt;"",H153,IF(G153&lt;&gt;"",G153,F153))))),"[$-en-US]mmm"))</f>
        <v/>
      </c>
    </row>
    <row r="154">
      <c r="A154" s="14" t="n">
        <v>51</v>
      </c>
      <c r="B154" s="14" t="n">
        <v>504</v>
      </c>
      <c r="C154" t="inlineStr">
        <is>
          <t>تشريع توضيحي 153</t>
        </is>
      </c>
      <c r="D154" s="14" t="inlineStr">
        <is>
          <t>الحوكمة</t>
        </is>
      </c>
      <c r="E154" s="14" t="inlineStr">
        <is>
          <t>الحوكمة</t>
        </is>
      </c>
      <c r="F154" s="268" t="n">
        <v>46118</v>
      </c>
      <c r="G154" s="268" t="n">
        <v>46118</v>
      </c>
      <c r="H154" s="268" t="n">
        <v>46136</v>
      </c>
      <c r="I154" s="268" t="n"/>
      <c r="J154" s="268" t="n">
        <v>46133</v>
      </c>
      <c r="K154" s="268" t="n">
        <v>46133</v>
      </c>
      <c r="L154" s="268" t="n">
        <v>46141</v>
      </c>
      <c r="M154" s="268" t="inlineStr">
        <is>
          <t>في الموعد</t>
        </is>
      </c>
      <c r="N154" s="268" t="n"/>
      <c r="O154" s="7" t="inlineStr">
        <is>
          <t>مغلق</t>
        </is>
      </c>
      <c r="P154" s="7" t="inlineStr">
        <is>
          <t>محلي</t>
        </is>
      </c>
      <c r="Q154" s="14" t="inlineStr">
        <is>
          <t>اللجنة العليا للتشريعات في إمارة دبي</t>
        </is>
      </c>
      <c r="R154" s="14" t="n"/>
      <c r="S154" s="14" t="n"/>
      <c r="T154" s="14" t="n">
        <v>2026</v>
      </c>
      <c r="U154" s="14">
        <f>IF(
K154&lt;&gt;"",
"",
IF(
IF(I154&lt;&gt;"",I154,H154)="",
"",
IF(
ValidationDate&gt;IF(I154&lt;&gt;"",I154,H154),
"متأخر",
""
)
)
)</f>
        <v/>
      </c>
      <c r="V154" s="14">
        <f>IF(
OR(
M154&lt;&gt;"في الموعد",
NOT(ISNUMBER(K154)),
NOT(ISNUMBER(H154))
),
"",
IF(
INT(K154)&gt;INT(H154),
"متأخر",
""
)
)</f>
        <v/>
      </c>
      <c r="W154" s="14">
        <f>IF(COUNT(F154:K154)=0,"",TEXT(IF(K154&lt;&gt;"",K154,IF(I154&lt;&gt;"",I154,IF(J154&lt;&gt;"",J154,IF(H154&lt;&gt;"",H154,IF(G154&lt;&gt;"",G154,F154))))),"[$-en-US]mmm"))</f>
        <v/>
      </c>
    </row>
    <row r="155">
      <c r="A155" s="14" t="n">
        <v>57</v>
      </c>
      <c r="B155" s="14" t="n">
        <v>548</v>
      </c>
      <c r="C155" t="inlineStr">
        <is>
          <t>تشريع توضيحي 154</t>
        </is>
      </c>
      <c r="D155" s="14" t="inlineStr">
        <is>
          <t>الحوكمة</t>
        </is>
      </c>
      <c r="E155" s="14" t="inlineStr">
        <is>
          <t>الحوكمة</t>
        </is>
      </c>
      <c r="F155" s="268" t="n">
        <v>46126</v>
      </c>
      <c r="G155" s="268" t="n">
        <v>46126</v>
      </c>
      <c r="H155" s="268" t="n">
        <v>46136</v>
      </c>
      <c r="I155" s="268" t="n"/>
      <c r="J155" s="268" t="n">
        <v>46133</v>
      </c>
      <c r="K155" s="268" t="n">
        <v>46133</v>
      </c>
      <c r="L155" s="268" t="n">
        <v>46135</v>
      </c>
      <c r="M155" s="268" t="inlineStr">
        <is>
          <t>في الموعد</t>
        </is>
      </c>
      <c r="N155" s="268" t="n"/>
      <c r="O155" s="7" t="inlineStr">
        <is>
          <t>مغلق</t>
        </is>
      </c>
      <c r="P155" s="7" t="inlineStr">
        <is>
          <t>محلي</t>
        </is>
      </c>
      <c r="Q155" s="14" t="inlineStr">
        <is>
          <t>اللجنة العليا للتشريعات في إمارة دبي</t>
        </is>
      </c>
      <c r="R155" s="14" t="n"/>
      <c r="S155" s="14" t="n"/>
      <c r="T155" s="14" t="n">
        <v>2026</v>
      </c>
      <c r="U155" s="14">
        <f>IF(
K155&lt;&gt;"",
"",
IF(
IF(I155&lt;&gt;"",I155,H155)="",
"",
IF(
ValidationDate&gt;IF(I155&lt;&gt;"",I155,H155),
"متأخر",
""
)
)
)</f>
        <v/>
      </c>
      <c r="V155" s="14">
        <f>IF(
OR(
M155&lt;&gt;"في الموعد",
NOT(ISNUMBER(K155)),
NOT(ISNUMBER(H155))
),
"",
IF(
INT(K155)&gt;INT(H155),
"متأخر",
""
)
)</f>
        <v/>
      </c>
      <c r="W155" s="14">
        <f>IF(COUNT(F155:K155)=0,"",TEXT(IF(K155&lt;&gt;"",K155,IF(I155&lt;&gt;"",I155,IF(J155&lt;&gt;"",J155,IF(H155&lt;&gt;"",H155,IF(G155&lt;&gt;"",G155,F155))))),"[$-en-US]mmm"))</f>
        <v/>
      </c>
    </row>
    <row r="156">
      <c r="A156" s="14" t="n">
        <v>58</v>
      </c>
      <c r="B156" s="14" t="n">
        <v>549</v>
      </c>
      <c r="C156" t="inlineStr">
        <is>
          <t>تشريع توضيحي 155</t>
        </is>
      </c>
      <c r="D156" s="14" t="inlineStr">
        <is>
          <t>الحوكمة</t>
        </is>
      </c>
      <c r="E156" s="14" t="inlineStr">
        <is>
          <t>الحوكمة</t>
        </is>
      </c>
      <c r="F156" s="268" t="n">
        <v>46126</v>
      </c>
      <c r="G156" s="268" t="n">
        <v>46126</v>
      </c>
      <c r="H156" s="268" t="n">
        <v>46139</v>
      </c>
      <c r="I156" s="268" t="n"/>
      <c r="J156" s="268" t="n">
        <v>46135</v>
      </c>
      <c r="K156" s="268" t="n">
        <v>46135</v>
      </c>
      <c r="L156" s="268" t="n">
        <v>46136</v>
      </c>
      <c r="M156" s="268" t="inlineStr">
        <is>
          <t>في الموعد</t>
        </is>
      </c>
      <c r="N156" s="268" t="n"/>
      <c r="O156" s="7" t="inlineStr">
        <is>
          <t>مغلق</t>
        </is>
      </c>
      <c r="P156" s="7" t="inlineStr">
        <is>
          <t>محلي</t>
        </is>
      </c>
      <c r="Q156" s="14" t="inlineStr">
        <is>
          <t>اللجنة العليا للتشريعات في إمارة دبي</t>
        </is>
      </c>
      <c r="R156" s="14" t="n"/>
      <c r="S156" s="14" t="n"/>
      <c r="T156" s="14" t="n">
        <v>2026</v>
      </c>
      <c r="U156" s="14">
        <f>IF(
K156&lt;&gt;"",
"",
IF(
IF(I156&lt;&gt;"",I156,H156)="",
"",
IF(
ValidationDate&gt;IF(I156&lt;&gt;"",I156,H156),
"متأخر",
""
)
)
)</f>
        <v/>
      </c>
      <c r="V156" s="14">
        <f>IF(
OR(
M156&lt;&gt;"في الموعد",
NOT(ISNUMBER(K156)),
NOT(ISNUMBER(H156))
),
"",
IF(
INT(K156)&gt;INT(H156),
"متأخر",
""
)
)</f>
        <v/>
      </c>
      <c r="W156" s="14">
        <f>IF(COUNT(F156:K156)=0,"",TEXT(IF(K156&lt;&gt;"",K156,IF(I156&lt;&gt;"",I156,IF(J156&lt;&gt;"",J156,IF(H156&lt;&gt;"",H156,IF(G156&lt;&gt;"",G156,F156))))),"[$-en-US]mmm"))</f>
        <v/>
      </c>
    </row>
    <row r="157">
      <c r="A157" s="14" t="n">
        <v>61</v>
      </c>
      <c r="B157" s="14" t="n">
        <v>556</v>
      </c>
      <c r="C157" t="inlineStr">
        <is>
          <t>تشريع توضيحي 156</t>
        </is>
      </c>
      <c r="D157" s="14" t="inlineStr">
        <is>
          <t>الحوكمة</t>
        </is>
      </c>
      <c r="E157" s="14" t="inlineStr">
        <is>
          <t>الحوكمة</t>
        </is>
      </c>
      <c r="F157" s="268" t="n">
        <v>46127</v>
      </c>
      <c r="G157" s="268" t="n">
        <v>46128</v>
      </c>
      <c r="H157" s="268" t="n">
        <v>46143</v>
      </c>
      <c r="I157" s="268" t="n"/>
      <c r="J157" s="268" t="n">
        <v>46142</v>
      </c>
      <c r="K157" s="268" t="n">
        <v>46128</v>
      </c>
      <c r="L157" s="268" t="n">
        <v>46128</v>
      </c>
      <c r="M157" s="268" t="inlineStr">
        <is>
          <t>في الموعد</t>
        </is>
      </c>
      <c r="N157" s="268" t="n"/>
      <c r="O157" s="7" t="inlineStr">
        <is>
          <t>مغلق</t>
        </is>
      </c>
      <c r="P157" s="7" t="inlineStr">
        <is>
          <t>محلي</t>
        </is>
      </c>
      <c r="Q157" s="14" t="inlineStr">
        <is>
          <t>اللجنة العليا للتشريعات في إمارة دبي</t>
        </is>
      </c>
      <c r="R157" s="14" t="n"/>
      <c r="S157" s="14" t="n"/>
      <c r="T157" s="14" t="n">
        <v>2026</v>
      </c>
      <c r="U157" s="14">
        <f>IF(
K157&lt;&gt;"",
"",
IF(
IF(I157&lt;&gt;"",I157,H157)="",
"",
IF(
ValidationDate&gt;IF(I157&lt;&gt;"",I157,H157),
"متأخر",
""
)
)
)</f>
        <v/>
      </c>
      <c r="V157" s="14">
        <f>IF(
OR(
M157&lt;&gt;"في الموعد",
NOT(ISNUMBER(K157)),
NOT(ISNUMBER(H157))
),
"",
IF(
INT(K157)&gt;INT(H157),
"متأخر",
""
)
)</f>
        <v/>
      </c>
      <c r="W157" s="14">
        <f>IF(COUNT(F157:K157)=0,"",TEXT(IF(K157&lt;&gt;"",K157,IF(I157&lt;&gt;"",I157,IF(J157&lt;&gt;"",J157,IF(H157&lt;&gt;"",H157,IF(G157&lt;&gt;"",G157,F157))))),"[$-en-US]mmm"))</f>
        <v/>
      </c>
    </row>
    <row r="158">
      <c r="A158" s="14" t="n">
        <v>71</v>
      </c>
      <c r="B158" s="14" t="n">
        <v>643</v>
      </c>
      <c r="C158" t="inlineStr">
        <is>
          <t>تشريع توضيحي 157</t>
        </is>
      </c>
      <c r="D158" s="14" t="inlineStr">
        <is>
          <t>الحوكمة</t>
        </is>
      </c>
      <c r="E158" s="14" t="inlineStr">
        <is>
          <t>الحوكمة</t>
        </is>
      </c>
      <c r="F158" s="268" t="n">
        <v>46141</v>
      </c>
      <c r="G158" s="268" t="n">
        <v>46141</v>
      </c>
      <c r="H158" s="268" t="n">
        <v>46157</v>
      </c>
      <c r="I158" s="268" t="n"/>
      <c r="J158" s="268" t="n">
        <v>46154</v>
      </c>
      <c r="K158" s="268" t="n">
        <v>46149</v>
      </c>
      <c r="L158" s="268" t="n">
        <v>46150</v>
      </c>
      <c r="M158" s="268" t="inlineStr">
        <is>
          <t>في الموعد</t>
        </is>
      </c>
      <c r="N158" s="268" t="n"/>
      <c r="O158" s="7" t="inlineStr">
        <is>
          <t>مغلق</t>
        </is>
      </c>
      <c r="P158" s="7" t="inlineStr">
        <is>
          <t>محلي</t>
        </is>
      </c>
      <c r="Q158" s="14" t="inlineStr">
        <is>
          <t>اللجنة العليا للتشريعات في إمارة دبي</t>
        </is>
      </c>
      <c r="R158" s="14" t="n"/>
      <c r="S158" s="14" t="n"/>
      <c r="T158" s="14" t="n">
        <v>2026</v>
      </c>
      <c r="U158" s="14">
        <f>IF(
K158&lt;&gt;"",
"",
IF(
IF(I158&lt;&gt;"",I158,H158)="",
"",
IF(
ValidationDate&gt;IF(I158&lt;&gt;"",I158,H158),
"متأخر",
""
)
)
)</f>
        <v/>
      </c>
      <c r="V158" s="14">
        <f>IF(
OR(
M158&lt;&gt;"في الموعد",
NOT(ISNUMBER(K158)),
NOT(ISNUMBER(H158))
),
"",
IF(
INT(K158)&gt;INT(H158),
"متأخر",
""
)
)</f>
        <v/>
      </c>
      <c r="W158" s="14">
        <f>IF(COUNT(F158:K158)=0,"",TEXT(IF(K158&lt;&gt;"",K158,IF(I158&lt;&gt;"",I158,IF(J158&lt;&gt;"",J158,IF(H158&lt;&gt;"",H158,IF(G158&lt;&gt;"",G158,F158))))),"[$-en-US]mmm"))</f>
        <v/>
      </c>
    </row>
    <row r="159">
      <c r="A159" s="14" t="n">
        <v>73</v>
      </c>
      <c r="B159" s="14" t="n">
        <v>645</v>
      </c>
      <c r="C159" t="inlineStr">
        <is>
          <t>تشريع توضيحي 158</t>
        </is>
      </c>
      <c r="D159" s="14" t="inlineStr">
        <is>
          <t>الحوكمة</t>
        </is>
      </c>
      <c r="E159" s="14" t="inlineStr">
        <is>
          <t>الحوكمة</t>
        </is>
      </c>
      <c r="F159" s="268" t="n">
        <v>46141</v>
      </c>
      <c r="G159" s="268" t="n">
        <v>46141</v>
      </c>
      <c r="H159" s="268" t="n">
        <v>46150</v>
      </c>
      <c r="I159" s="268" t="n"/>
      <c r="J159" s="268" t="n">
        <v>46148</v>
      </c>
      <c r="K159" s="268" t="n">
        <v>46149</v>
      </c>
      <c r="L159" s="268" t="n">
        <v>46150</v>
      </c>
      <c r="M159" s="268" t="inlineStr">
        <is>
          <t>في الموعد</t>
        </is>
      </c>
      <c r="N159" s="268" t="n"/>
      <c r="O159" s="7" t="inlineStr">
        <is>
          <t>مغلق</t>
        </is>
      </c>
      <c r="P159" s="7" t="inlineStr">
        <is>
          <t>محلي</t>
        </is>
      </c>
      <c r="Q159" s="14" t="inlineStr">
        <is>
          <t>اللجنة العليا للتشريعات في إمارة دبي</t>
        </is>
      </c>
      <c r="R159" s="14" t="n"/>
      <c r="S159" s="14" t="n"/>
      <c r="T159" s="14" t="n">
        <v>2026</v>
      </c>
      <c r="U159" s="14">
        <f>IF(
K159&lt;&gt;"",
"",
IF(
IF(I159&lt;&gt;"",I159,H159)="",
"",
IF(
ValidationDate&gt;IF(I159&lt;&gt;"",I159,H159),
"متأخر",
""
)
)
)</f>
        <v/>
      </c>
      <c r="V159" s="14">
        <f>IF(
OR(
M159&lt;&gt;"في الموعد",
NOT(ISNUMBER(K159)),
NOT(ISNUMBER(H159))
),
"",
IF(
INT(K159)&gt;INT(H159),
"متأخر",
""
)
)</f>
        <v/>
      </c>
      <c r="W159" s="14">
        <f>IF(COUNT(F159:K159)=0,"",TEXT(IF(K159&lt;&gt;"",K159,IF(I159&lt;&gt;"",I159,IF(J159&lt;&gt;"",J159,IF(H159&lt;&gt;"",H159,IF(G159&lt;&gt;"",G159,F159))))),"[$-en-US]mmm"))</f>
        <v/>
      </c>
    </row>
    <row r="160">
      <c r="A160" s="14" t="n">
        <v>74</v>
      </c>
      <c r="B160" s="14" t="n">
        <v>647</v>
      </c>
      <c r="C160" t="inlineStr">
        <is>
          <t>تشريع توضيحي 159</t>
        </is>
      </c>
      <c r="D160" s="14" t="inlineStr">
        <is>
          <t>الحوكمة</t>
        </is>
      </c>
      <c r="E160" s="14" t="inlineStr">
        <is>
          <t>الحوكمة</t>
        </is>
      </c>
      <c r="F160" s="268" t="n">
        <v>46141</v>
      </c>
      <c r="G160" s="268" t="n">
        <v>46141</v>
      </c>
      <c r="H160" s="268" t="n">
        <v>46157</v>
      </c>
      <c r="I160" s="268" t="n"/>
      <c r="J160" s="268" t="n">
        <v>46154</v>
      </c>
      <c r="K160" s="268" t="n">
        <v>46155</v>
      </c>
      <c r="L160" s="268" t="n">
        <v>46156</v>
      </c>
      <c r="M160" s="268" t="inlineStr">
        <is>
          <t>في الموعد</t>
        </is>
      </c>
      <c r="N160" s="268" t="n"/>
      <c r="O160" s="7" t="inlineStr">
        <is>
          <t>مغلق</t>
        </is>
      </c>
      <c r="P160" s="7" t="inlineStr">
        <is>
          <t>محلي</t>
        </is>
      </c>
      <c r="Q160" s="14" t="inlineStr">
        <is>
          <t>اللجنة العليا للتشريعات في إمارة دبي</t>
        </is>
      </c>
      <c r="R160" s="14" t="n"/>
      <c r="S160" s="14" t="n"/>
      <c r="T160" s="14" t="n">
        <v>2026</v>
      </c>
      <c r="U160" s="14">
        <f>IF(
K160&lt;&gt;"",
"",
IF(
IF(I160&lt;&gt;"",I160,H160)="",
"",
IF(
ValidationDate&gt;IF(I160&lt;&gt;"",I160,H160),
"متأخر",
""
)
)
)</f>
        <v/>
      </c>
      <c r="V160" s="14">
        <f>IF(
OR(
M160&lt;&gt;"في الموعد",
NOT(ISNUMBER(K160)),
NOT(ISNUMBER(H160))
),
"",
IF(
INT(K160)&gt;INT(H160),
"متأخر",
""
)
)</f>
        <v/>
      </c>
      <c r="W160" s="14">
        <f>IF(COUNT(F160:K160)=0,"",TEXT(IF(K160&lt;&gt;"",K160,IF(I160&lt;&gt;"",I160,IF(J160&lt;&gt;"",J160,IF(H160&lt;&gt;"",H160,IF(G160&lt;&gt;"",G160,F160))))),"[$-en-US]mmm"))</f>
        <v/>
      </c>
    </row>
    <row r="161">
      <c r="A161" s="14" t="n">
        <v>75</v>
      </c>
      <c r="B161" s="14" t="n">
        <v>635</v>
      </c>
      <c r="C161" t="inlineStr">
        <is>
          <t>تشريع توضيحي 160</t>
        </is>
      </c>
      <c r="D161" s="14" t="inlineStr">
        <is>
          <t>الحوكمة</t>
        </is>
      </c>
      <c r="E161" s="14" t="inlineStr">
        <is>
          <t>الحوكمة</t>
        </is>
      </c>
      <c r="F161" s="268" t="n">
        <v>46140</v>
      </c>
      <c r="G161" s="268" t="n">
        <v>46140</v>
      </c>
      <c r="H161" s="268" t="n">
        <v>46150</v>
      </c>
      <c r="I161" s="268" t="n"/>
      <c r="J161" s="268" t="n">
        <v>46148</v>
      </c>
      <c r="K161" s="268" t="n">
        <v>46149</v>
      </c>
      <c r="L161" s="268" t="n">
        <v>46150</v>
      </c>
      <c r="M161" s="268" t="inlineStr">
        <is>
          <t>في الموعد</t>
        </is>
      </c>
      <c r="N161" s="268" t="n"/>
      <c r="O161" s="7" t="inlineStr">
        <is>
          <t>مغلق</t>
        </is>
      </c>
      <c r="P161" s="7" t="inlineStr">
        <is>
          <t>محلي</t>
        </is>
      </c>
      <c r="Q161" s="14" t="inlineStr">
        <is>
          <t>اللجنة العليا للتشريعات في إمارة دبي</t>
        </is>
      </c>
      <c r="R161" s="14" t="n"/>
      <c r="S161" s="14" t="n"/>
      <c r="T161" s="14" t="n">
        <v>2026</v>
      </c>
      <c r="U161" s="14">
        <f>IF(
K161&lt;&gt;"",
"",
IF(
IF(I161&lt;&gt;"",I161,H161)="",
"",
IF(
ValidationDate&gt;IF(I161&lt;&gt;"",I161,H161),
"متأخر",
""
)
)
)</f>
        <v/>
      </c>
      <c r="V161" s="14">
        <f>IF(
OR(
M161&lt;&gt;"في الموعد",
NOT(ISNUMBER(K161)),
NOT(ISNUMBER(H161))
),
"",
IF(
INT(K161)&gt;INT(H161),
"متأخر",
""
)
)</f>
        <v/>
      </c>
      <c r="W161" s="14">
        <f>IF(COUNT(F161:K161)=0,"",TEXT(IF(K161&lt;&gt;"",K161,IF(I161&lt;&gt;"",I161,IF(J161&lt;&gt;"",J161,IF(H161&lt;&gt;"",H161,IF(G161&lt;&gt;"",G161,F161))))),"[$-en-US]mmm"))</f>
        <v/>
      </c>
    </row>
    <row r="162">
      <c r="A162" s="14" t="n">
        <v>76</v>
      </c>
      <c r="B162" s="14" t="n">
        <v>656</v>
      </c>
      <c r="C162" t="inlineStr">
        <is>
          <t>تشريع توضيحي 161</t>
        </is>
      </c>
      <c r="D162" s="14" t="inlineStr">
        <is>
          <t>الحوكمة</t>
        </is>
      </c>
      <c r="E162" s="14" t="inlineStr">
        <is>
          <t>الحوكمة</t>
        </is>
      </c>
      <c r="F162" s="268" t="n">
        <v>46142</v>
      </c>
      <c r="G162" s="268" t="n">
        <v>46142</v>
      </c>
      <c r="H162" s="268" t="n">
        <v>46150</v>
      </c>
      <c r="I162" s="268" t="n"/>
      <c r="J162" s="268" t="n">
        <v>46148</v>
      </c>
      <c r="K162" s="268" t="n">
        <v>46149</v>
      </c>
      <c r="L162" s="268" t="n">
        <v>46150</v>
      </c>
      <c r="M162" s="268" t="inlineStr">
        <is>
          <t>في الموعد</t>
        </is>
      </c>
      <c r="N162" s="268" t="n"/>
      <c r="O162" s="7" t="inlineStr">
        <is>
          <t>مغلق</t>
        </is>
      </c>
      <c r="P162" s="7" t="inlineStr">
        <is>
          <t>محلي</t>
        </is>
      </c>
      <c r="Q162" s="14" t="inlineStr">
        <is>
          <t>اللجنة العليا للتشريعات في إمارة دبي</t>
        </is>
      </c>
      <c r="R162" s="14" t="n"/>
      <c r="S162" s="14" t="n"/>
      <c r="T162" s="14" t="n">
        <v>2026</v>
      </c>
      <c r="U162" s="14">
        <f>IF(
   K162&lt;&gt;"",
   "",
   IF(
      IF(I162&lt;&gt;"",I162,H162)="",
      "",
      IF(
         ValidationDate&gt;IF(I162&lt;&gt;"",I162,H162),
         "متأخر",
         ""
      )
   )
)</f>
        <v/>
      </c>
      <c r="V162" s="14">
        <f>IF(
OR(
M162&lt;&gt;"في الموعد",
NOT(ISNUMBER(K162)),
NOT(ISNUMBER(H162))
),
"",
IF(
INT(K162)&gt;INT(H162),
"متأخر",
""
)
)</f>
        <v/>
      </c>
      <c r="W162" s="14">
        <f>IF(COUNT(F162:K162)=0,"",TEXT(IF(K162&lt;&gt;"",K162,IF(I162&lt;&gt;"",I162,IF(J162&lt;&gt;"",J162,IF(H162&lt;&gt;"",H162,IF(G162&lt;&gt;"",G162,F162))))),"[$-en-US]mmm"))</f>
        <v/>
      </c>
    </row>
    <row r="163">
      <c r="A163" s="14" t="n">
        <v>84</v>
      </c>
      <c r="B163" s="14" t="n">
        <v>687</v>
      </c>
      <c r="C163" t="inlineStr">
        <is>
          <t>تشريع توضيحي 162</t>
        </is>
      </c>
      <c r="D163" s="14" t="inlineStr">
        <is>
          <t>الحوكمة</t>
        </is>
      </c>
      <c r="E163" s="14" t="inlineStr">
        <is>
          <t>الحوكمة</t>
        </is>
      </c>
      <c r="F163" s="268" t="n">
        <v>46147</v>
      </c>
      <c r="G163" s="268" t="n">
        <v>46147</v>
      </c>
      <c r="H163" s="268" t="n">
        <v>46192</v>
      </c>
      <c r="I163" s="268" t="n"/>
      <c r="J163" s="268" t="n">
        <v>46189</v>
      </c>
      <c r="K163" s="268" t="n">
        <v>46189</v>
      </c>
      <c r="L163" s="268" t="n">
        <v>46191</v>
      </c>
      <c r="M163" s="268" t="inlineStr">
        <is>
          <t>في الموعد</t>
        </is>
      </c>
      <c r="N163" s="268" t="n"/>
      <c r="O163" s="7" t="inlineStr">
        <is>
          <t>مغلق</t>
        </is>
      </c>
      <c r="P163" s="7" t="inlineStr">
        <is>
          <t>محلي</t>
        </is>
      </c>
      <c r="Q163" s="14" t="inlineStr">
        <is>
          <t>اللجنة العليا للتشريعات في إمارة دبي</t>
        </is>
      </c>
      <c r="R163" s="14" t="n"/>
      <c r="S163" s="14" t="n"/>
      <c r="T163" s="14" t="n">
        <v>2026</v>
      </c>
      <c r="U163" s="14">
        <f>IF(
K163&lt;&gt;"",
"",
IF(
IF(I163&lt;&gt;"",I163,H163)="",
"",
IF(
ValidationDate&gt;IF(I163&lt;&gt;"",I163,H163),
"متأخر",
""
)
)
)</f>
        <v/>
      </c>
      <c r="V163" s="14">
        <f>IF(
OR(
M163&lt;&gt;"في الموعد",
NOT(ISNUMBER(K163)),
NOT(ISNUMBER(H163))
),
"",
IF(
INT(K163)&gt;INT(H163),
"متأخر",
""
)
)</f>
        <v/>
      </c>
      <c r="W163" s="14">
        <f>IF(COUNT(F163:K163)=0,"",TEXT(IF(K163&lt;&gt;"",K163,IF(I163&lt;&gt;"",I163,IF(J163&lt;&gt;"",J163,IF(H163&lt;&gt;"",H163,IF(G163&lt;&gt;"",G163,F163))))),"[$-en-US]mmm"))</f>
        <v/>
      </c>
    </row>
    <row r="164">
      <c r="A164" s="14" t="n">
        <v>87</v>
      </c>
      <c r="B164" s="14" t="n">
        <v>677</v>
      </c>
      <c r="C164" t="inlineStr">
        <is>
          <t>تشريع توضيحي 163</t>
        </is>
      </c>
      <c r="D164" s="14" t="inlineStr">
        <is>
          <t>الحوكمة</t>
        </is>
      </c>
      <c r="E164" s="14" t="inlineStr">
        <is>
          <t>الحوكمة</t>
        </is>
      </c>
      <c r="F164" s="268" t="n">
        <v>46146</v>
      </c>
      <c r="G164" s="268" t="n">
        <v>46148</v>
      </c>
      <c r="H164" s="268" t="n">
        <v>46153</v>
      </c>
      <c r="I164" s="268" t="n"/>
      <c r="J164" s="268" t="n">
        <v>46153</v>
      </c>
      <c r="K164" s="268" t="n">
        <v>46153</v>
      </c>
      <c r="L164" s="268" t="n">
        <v>46154</v>
      </c>
      <c r="M164" s="268" t="inlineStr">
        <is>
          <t>في الموعد</t>
        </is>
      </c>
      <c r="N164" s="268" t="n"/>
      <c r="O164" s="7" t="inlineStr">
        <is>
          <t>مغلق</t>
        </is>
      </c>
      <c r="P164" s="7" t="inlineStr">
        <is>
          <t>محلي</t>
        </is>
      </c>
      <c r="Q164" s="14" t="inlineStr">
        <is>
          <t>اللجنة العليا للتشريعات في إمارة دبي</t>
        </is>
      </c>
      <c r="R164" s="14" t="n"/>
      <c r="S164" s="14" t="n"/>
      <c r="T164" s="14" t="n">
        <v>2026</v>
      </c>
      <c r="U164" s="14">
        <f>IF(
K164&lt;&gt;"",
"",
IF(
IF(I164&lt;&gt;"",I164,H164)="",
"",
IF(
ValidationDate&gt;IF(I164&lt;&gt;"",I164,H164),
"متأخر",
""
)
)
)</f>
        <v/>
      </c>
      <c r="V164" s="14">
        <f>IF(
OR(
M164&lt;&gt;"في الموعد",
NOT(ISNUMBER(K164)),
NOT(ISNUMBER(H164))
),
"",
IF(
INT(K164)&gt;INT(H164),
"متأخر",
""
)
)</f>
        <v/>
      </c>
      <c r="W164" s="14">
        <f>IF(COUNT(F164:K164)=0,"",TEXT(IF(K164&lt;&gt;"",K164,IF(I164&lt;&gt;"",I164,IF(J164&lt;&gt;"",J164,IF(H164&lt;&gt;"",H164,IF(G164&lt;&gt;"",G164,F164))))),"[$-en-US]mmm"))</f>
        <v/>
      </c>
    </row>
    <row r="165">
      <c r="A165" s="14" t="n">
        <v>88</v>
      </c>
      <c r="B165" s="14" t="n">
        <v>704</v>
      </c>
      <c r="C165" t="inlineStr">
        <is>
          <t>تشريع توضيحي 164</t>
        </is>
      </c>
      <c r="D165" s="14" t="inlineStr">
        <is>
          <t>الحوكمة</t>
        </is>
      </c>
      <c r="E165" s="14" t="inlineStr">
        <is>
          <t>الحوكمة</t>
        </is>
      </c>
      <c r="F165" s="268" t="n">
        <v>46150</v>
      </c>
      <c r="G165" s="268" t="n">
        <v>46150</v>
      </c>
      <c r="H165" s="268" t="n">
        <v>46178</v>
      </c>
      <c r="I165" s="268" t="n"/>
      <c r="J165" s="268" t="n">
        <v>46175</v>
      </c>
      <c r="K165" s="268" t="n">
        <v>46176</v>
      </c>
      <c r="L165" s="268" t="n">
        <v>46178</v>
      </c>
      <c r="M165" s="268" t="inlineStr">
        <is>
          <t>في الموعد</t>
        </is>
      </c>
      <c r="N165" s="268" t="n"/>
      <c r="O165" s="7" t="inlineStr">
        <is>
          <t>مغلق</t>
        </is>
      </c>
      <c r="P165" s="7" t="inlineStr">
        <is>
          <t>محلي</t>
        </is>
      </c>
      <c r="Q165" s="14" t="inlineStr">
        <is>
          <t>اللجنة العليا للتشريعات في إمارة دبي</t>
        </is>
      </c>
      <c r="R165" s="14" t="n"/>
      <c r="S165" s="14" t="n"/>
      <c r="T165" s="14" t="n">
        <v>2026</v>
      </c>
      <c r="U165" s="14">
        <f>IF(
K165&lt;&gt;"",
"",
IF(
IF(I165&lt;&gt;"",I165,H165)="",
"",
IF(
ValidationDate&gt;IF(I165&lt;&gt;"",I165,H165),
"متأخر",
""
)
)
)</f>
        <v/>
      </c>
      <c r="V165" s="14">
        <f>IF(
OR(
M165&lt;&gt;"في الموعد",
NOT(ISNUMBER(K165)),
NOT(ISNUMBER(H165))
),
"",
IF(
INT(K165)&gt;INT(H165),
"متأخر",
""
)
)</f>
        <v/>
      </c>
      <c r="W165" s="14">
        <f>IF(COUNT(F165:K165)=0,"",TEXT(IF(K165&lt;&gt;"",K165,IF(I165&lt;&gt;"",I165,IF(J165&lt;&gt;"",J165,IF(H165&lt;&gt;"",H165,IF(G165&lt;&gt;"",G165,F165))))),"[$-en-US]mmm"))</f>
        <v/>
      </c>
    </row>
    <row r="166">
      <c r="A166" s="14" t="n">
        <v>93</v>
      </c>
      <c r="B166" s="14" t="n">
        <v>724</v>
      </c>
      <c r="C166" t="inlineStr">
        <is>
          <t>تشريع توضيحي 165</t>
        </is>
      </c>
      <c r="D166" s="14" t="inlineStr">
        <is>
          <t>الحوكمة</t>
        </is>
      </c>
      <c r="E166" s="14" t="inlineStr">
        <is>
          <t>الحوكمة</t>
        </is>
      </c>
      <c r="F166" s="268" t="n">
        <v>46154</v>
      </c>
      <c r="G166" s="268" t="n">
        <v>46155</v>
      </c>
      <c r="H166" s="268" t="n">
        <v>46164</v>
      </c>
      <c r="I166" s="268" t="n"/>
      <c r="J166" s="268" t="n">
        <v>46161</v>
      </c>
      <c r="K166" s="268" t="n">
        <v>46161</v>
      </c>
      <c r="L166" s="268" t="n">
        <v>46162</v>
      </c>
      <c r="M166" s="268" t="inlineStr">
        <is>
          <t>في الموعد</t>
        </is>
      </c>
      <c r="N166" s="268" t="n"/>
      <c r="O166" s="7" t="inlineStr">
        <is>
          <t>مغلق</t>
        </is>
      </c>
      <c r="P166" s="7" t="inlineStr">
        <is>
          <t>محلي</t>
        </is>
      </c>
      <c r="Q166" s="14" t="inlineStr">
        <is>
          <t>اللجنة العليا للتشريعات في إمارة دبي</t>
        </is>
      </c>
      <c r="R166" s="14" t="n"/>
      <c r="S166" s="14" t="n"/>
      <c r="T166" s="14" t="n">
        <v>2026</v>
      </c>
      <c r="U166" s="14">
        <f>IF(
K166&lt;&gt;"",
"",
IF(
IF(I166&lt;&gt;"",I166,H166)="",
"",
IF(
ValidationDate&gt;IF(I166&lt;&gt;"",I166,H166),
"متأخر",
""
)
)
)</f>
        <v/>
      </c>
      <c r="V166" s="14">
        <f>IF(
OR(
M166&lt;&gt;"في الموعد",
NOT(ISNUMBER(K166)),
NOT(ISNUMBER(H166))
),
"",
IF(
INT(K166)&gt;INT(H166),
"متأخر",
""
)
)</f>
        <v/>
      </c>
      <c r="W166" s="14">
        <f>IF(COUNT(F166:K166)=0,"",TEXT(IF(K166&lt;&gt;"",K166,IF(I166&lt;&gt;"",I166,IF(J166&lt;&gt;"",J166,IF(H166&lt;&gt;"",H166,IF(G166&lt;&gt;"",G166,F166))))),"[$-en-US]mmm"))</f>
        <v/>
      </c>
    </row>
    <row r="167">
      <c r="A167" s="14" t="n">
        <v>96</v>
      </c>
      <c r="B167" s="14" t="n">
        <v>751</v>
      </c>
      <c r="C167" t="inlineStr">
        <is>
          <t>تشريع توضيحي 166</t>
        </is>
      </c>
      <c r="D167" s="14" t="inlineStr">
        <is>
          <t>الحوكمة</t>
        </is>
      </c>
      <c r="E167" s="14" t="inlineStr">
        <is>
          <t>الحوكمة</t>
        </is>
      </c>
      <c r="F167" s="268" t="n">
        <v>46160</v>
      </c>
      <c r="G167" s="268" t="n">
        <v>46160</v>
      </c>
      <c r="H167" s="268" t="n">
        <v>46192</v>
      </c>
      <c r="I167" s="268" t="n">
        <v>46206</v>
      </c>
      <c r="J167" s="268" t="n">
        <v>46189</v>
      </c>
      <c r="K167" s="268" t="n">
        <v>46196</v>
      </c>
      <c r="L167" s="268" t="n">
        <v>46205</v>
      </c>
      <c r="M167" s="268" t="inlineStr">
        <is>
          <t>في الموعد</t>
        </is>
      </c>
      <c r="N167" s="268" t="n"/>
      <c r="O167" s="7" t="inlineStr">
        <is>
          <t>مغلق</t>
        </is>
      </c>
      <c r="P167" s="7" t="inlineStr">
        <is>
          <t>محلي</t>
        </is>
      </c>
      <c r="Q167" s="14" t="inlineStr">
        <is>
          <t>اللجنة العليا للتشريعات في إمارة دبي</t>
        </is>
      </c>
      <c r="R167" s="14" t="n"/>
      <c r="S167" s="14" t="n"/>
      <c r="T167" s="14" t="n">
        <v>2026</v>
      </c>
      <c r="U167" s="14">
        <f>IF(
K167&lt;&gt;"",
"",
IF(
IF(I167&lt;&gt;"",I167,H167)="",
"",
IF(
ValidationDate&gt;IF(I167&lt;&gt;"",I167,H167),
"متأخر",
""
)
)
)</f>
        <v/>
      </c>
      <c r="V167" s="14">
        <f>IF(
OR(
M167&lt;&gt;"في الموعد",
NOT(ISNUMBER(K167)),
NOT(ISNUMBER(H167))
),
"",
IF(
INT(K167)&gt;INT(H167),
"متأخر",
""
)
)</f>
        <v/>
      </c>
      <c r="W167" s="14">
        <f>IF(COUNT(F167:K167)=0,"",TEXT(IF(K167&lt;&gt;"",K167,IF(I167&lt;&gt;"",I167,IF(J167&lt;&gt;"",J167,IF(H167&lt;&gt;"",H167,IF(G167&lt;&gt;"",G167,F167))))),"[$-en-US]mmm"))</f>
        <v/>
      </c>
    </row>
    <row r="168">
      <c r="A168" s="14" t="n">
        <v>100</v>
      </c>
      <c r="B168" s="14" t="n">
        <v>792</v>
      </c>
      <c r="C168" t="inlineStr">
        <is>
          <t>تشريع توضيحي 167</t>
        </is>
      </c>
      <c r="D168" s="14" t="inlineStr">
        <is>
          <t>الحوكمة</t>
        </is>
      </c>
      <c r="E168" s="14" t="inlineStr">
        <is>
          <t>الحوكمة</t>
        </is>
      </c>
      <c r="F168" s="268" t="n">
        <v>46164</v>
      </c>
      <c r="G168" s="268" t="n">
        <v>46174</v>
      </c>
      <c r="H168" s="268" t="n">
        <v>46178</v>
      </c>
      <c r="I168" s="268" t="n">
        <v>46185</v>
      </c>
      <c r="J168" s="268" t="n">
        <v>46182</v>
      </c>
      <c r="K168" s="268" t="n">
        <v>46178</v>
      </c>
      <c r="L168" s="268" t="n">
        <v>46181</v>
      </c>
      <c r="M168" s="268" t="inlineStr">
        <is>
          <t>في الموعد</t>
        </is>
      </c>
      <c r="N168" s="268" t="n"/>
      <c r="O168" s="7" t="inlineStr">
        <is>
          <t>مغلق</t>
        </is>
      </c>
      <c r="P168" s="7" t="inlineStr">
        <is>
          <t>محلي</t>
        </is>
      </c>
      <c r="Q168" s="14" t="inlineStr">
        <is>
          <t>اللجنة العليا للتشريعات في إمارة دبي</t>
        </is>
      </c>
      <c r="R168" s="14" t="n"/>
      <c r="S168" s="14" t="n"/>
      <c r="T168" s="14" t="n">
        <v>2026</v>
      </c>
      <c r="U168" s="14">
        <f>IF(
K168&lt;&gt;"",
"",
IF(
IF(I168&lt;&gt;"",I168,H168)="",
"",
IF(
ValidationDate&gt;IF(I168&lt;&gt;"",I168,H168),
"متأخر",
""
)
)
)</f>
        <v/>
      </c>
      <c r="V168" s="14">
        <f>IF(
OR(
M168&lt;&gt;"في الموعد",
NOT(ISNUMBER(K168)),
NOT(ISNUMBER(H168))
),
"",
IF(
INT(K168)&gt;INT(H168),
"متأخر",
""
)
)</f>
        <v/>
      </c>
      <c r="W168" s="14">
        <f>IF(COUNT(F168:K168)=0,"",TEXT(IF(K168&lt;&gt;"",K168,IF(I168&lt;&gt;"",I168,IF(J168&lt;&gt;"",J168,IF(H168&lt;&gt;"",H168,IF(G168&lt;&gt;"",G168,F168))))),"[$-en-US]mmm"))</f>
        <v/>
      </c>
    </row>
    <row r="169">
      <c r="A169" s="14" t="n">
        <v>104</v>
      </c>
      <c r="B169" s="14" t="n">
        <v>843</v>
      </c>
      <c r="C169" t="inlineStr">
        <is>
          <t>تشريع توضيحي 168</t>
        </is>
      </c>
      <c r="D169" s="14" t="inlineStr">
        <is>
          <t>الحوكمة</t>
        </is>
      </c>
      <c r="E169" s="14" t="inlineStr">
        <is>
          <t>الحوكمة</t>
        </is>
      </c>
      <c r="F169" s="268" t="n">
        <v>46177</v>
      </c>
      <c r="G169" s="268" t="n">
        <v>46178</v>
      </c>
      <c r="H169" s="268" t="n">
        <v>46189</v>
      </c>
      <c r="I169" s="268" t="n"/>
      <c r="J169" s="268" t="n">
        <v>46184</v>
      </c>
      <c r="K169" s="268" t="n">
        <v>46184</v>
      </c>
      <c r="L169" s="268" t="n">
        <v>46185</v>
      </c>
      <c r="M169" s="268" t="inlineStr">
        <is>
          <t>في الموعد</t>
        </is>
      </c>
      <c r="N169" s="268" t="n"/>
      <c r="O169" s="7" t="inlineStr">
        <is>
          <t>مغلق</t>
        </is>
      </c>
      <c r="P169" s="7" t="inlineStr">
        <is>
          <t>محلي</t>
        </is>
      </c>
      <c r="Q169" s="14" t="inlineStr">
        <is>
          <t>اللجنة العليا للتشريعات في إمارة دبي</t>
        </is>
      </c>
      <c r="R169" s="14" t="n"/>
      <c r="S169" s="14" t="n"/>
      <c r="T169" s="14" t="n">
        <v>2026</v>
      </c>
      <c r="U169" s="14">
        <f>IF(
K169&lt;&gt;"",
"",
IF(
IF(I169&lt;&gt;"",I169,H169)="",
"",
IF(
ValidationDate&gt;IF(I169&lt;&gt;"",I169,H169),
"متأخر",
""
)
)
)</f>
        <v/>
      </c>
      <c r="V169" s="14">
        <f>IF(
OR(
M169&lt;&gt;"في الموعد",
NOT(ISNUMBER(K169)),
NOT(ISNUMBER(H169))
),
"",
IF(
INT(K169)&gt;INT(H169),
"متأخر",
""
)
)</f>
        <v/>
      </c>
      <c r="W169" s="14">
        <f>IF(COUNT(F169:K169)=0,"",TEXT(IF(K169&lt;&gt;"",K169,IF(I169&lt;&gt;"",I169,IF(J169&lt;&gt;"",J169,IF(H169&lt;&gt;"",H169,IF(G169&lt;&gt;"",G169,F169))))),"[$-en-US]mmm"))</f>
        <v/>
      </c>
    </row>
    <row r="170">
      <c r="A170" s="14" t="n">
        <v>107</v>
      </c>
      <c r="B170" s="14" t="n">
        <v>873</v>
      </c>
      <c r="C170" t="inlineStr">
        <is>
          <t>تشريع توضيحي 169</t>
        </is>
      </c>
      <c r="D170" s="14" t="inlineStr">
        <is>
          <t>الحوكمة</t>
        </is>
      </c>
      <c r="E170" s="14" t="inlineStr">
        <is>
          <t>الحوكمة</t>
        </is>
      </c>
      <c r="F170" s="268" t="n">
        <v>46182</v>
      </c>
      <c r="G170" s="268" t="n">
        <v>46182</v>
      </c>
      <c r="H170" s="268" t="n">
        <v>46192</v>
      </c>
      <c r="I170" s="268" t="n">
        <v>46199</v>
      </c>
      <c r="J170" s="268" t="n">
        <v>46189</v>
      </c>
      <c r="K170" s="268" t="n">
        <v>46192</v>
      </c>
      <c r="L170" s="268" t="n">
        <v>46195</v>
      </c>
      <c r="M170" s="268" t="inlineStr">
        <is>
          <t>في الموعد</t>
        </is>
      </c>
      <c r="N170" s="268" t="n"/>
      <c r="O170" s="7" t="inlineStr">
        <is>
          <t>مغلق</t>
        </is>
      </c>
      <c r="P170" s="7" t="inlineStr">
        <is>
          <t>محلي</t>
        </is>
      </c>
      <c r="Q170" s="14" t="inlineStr">
        <is>
          <t>اللجنة العليا للتشريعات في إمارة دبي</t>
        </is>
      </c>
      <c r="R170" s="14" t="n"/>
      <c r="S170" s="14" t="n"/>
      <c r="T170" s="14" t="n">
        <v>2026</v>
      </c>
      <c r="U170" s="14">
        <f>IF(
K170&lt;&gt;"",
"",
IF(
IF(I170&lt;&gt;"",I170,H170)="",
"",
IF(
ValidationDate&gt;IF(I170&lt;&gt;"",I170,H170),
"متأخر",
""
)
)
)</f>
        <v/>
      </c>
      <c r="V170" s="14">
        <f>IF(
OR(
M170&lt;&gt;"في الموعد",
NOT(ISNUMBER(K170)),
NOT(ISNUMBER(H170))
),
"",
IF(
INT(K170)&gt;INT(H170),
"متأخر",
""
)
)</f>
        <v/>
      </c>
      <c r="W170" s="14">
        <f>IF(COUNT(F170:K170)=0,"",TEXT(IF(K170&lt;&gt;"",K170,IF(I170&lt;&gt;"",I170,IF(J170&lt;&gt;"",J170,IF(H170&lt;&gt;"",H170,IF(G170&lt;&gt;"",G170,F170))))),"[$-en-US]mmm"))</f>
        <v/>
      </c>
    </row>
    <row r="171">
      <c r="A171" s="14" t="n">
        <v>110</v>
      </c>
      <c r="B171" s="14" t="n">
        <v>877</v>
      </c>
      <c r="C171" t="inlineStr">
        <is>
          <t>تشريع توضيحي 170</t>
        </is>
      </c>
      <c r="D171" s="14" t="inlineStr">
        <is>
          <t>الحوكمة</t>
        </is>
      </c>
      <c r="E171" s="14" t="inlineStr">
        <is>
          <t>الحوكمة</t>
        </is>
      </c>
      <c r="F171" s="268" t="n">
        <v>46183</v>
      </c>
      <c r="G171" s="268" t="n">
        <v>46183</v>
      </c>
      <c r="H171" s="268" t="n">
        <v>46192</v>
      </c>
      <c r="I171" s="268" t="n">
        <v>46199</v>
      </c>
      <c r="J171" s="268" t="n">
        <v>46190</v>
      </c>
      <c r="K171" s="268" t="n">
        <v>46192</v>
      </c>
      <c r="L171" s="268" t="n">
        <v>46195</v>
      </c>
      <c r="M171" s="268" t="inlineStr">
        <is>
          <t>في الموعد</t>
        </is>
      </c>
      <c r="N171" s="268" t="n"/>
      <c r="O171" s="7" t="inlineStr">
        <is>
          <t>مغلق</t>
        </is>
      </c>
      <c r="P171" s="7" t="inlineStr">
        <is>
          <t>محلي</t>
        </is>
      </c>
      <c r="Q171" s="14" t="inlineStr">
        <is>
          <t>اللجنة العليا للتشريعات في إمارة دبي</t>
        </is>
      </c>
      <c r="R171" s="14" t="n"/>
      <c r="S171" s="14" t="n"/>
      <c r="T171" s="14" t="n">
        <v>2026</v>
      </c>
      <c r="U171" s="14">
        <f>IF(
K171&lt;&gt;"",
"",
IF(
IF(I171&lt;&gt;"",I171,H171)="",
"",
IF(
ValidationDate&gt;IF(I171&lt;&gt;"",I171,H171),
"متأخر",
""
)
)
)</f>
        <v/>
      </c>
      <c r="V171" s="14">
        <f>IF(
OR(
M171&lt;&gt;"في الموعد",
NOT(ISNUMBER(K171)),
NOT(ISNUMBER(H171))
),
"",
IF(
INT(K171)&gt;INT(H171),
"متأخر",
""
)
)</f>
        <v/>
      </c>
      <c r="W171" s="14">
        <f>IF(COUNT(F171:K171)=0,"",TEXT(IF(K171&lt;&gt;"",K171,IF(I171&lt;&gt;"",I171,IF(J171&lt;&gt;"",J171,IF(H171&lt;&gt;"",H171,IF(G171&lt;&gt;"",G171,F171))))),"[$-en-US]mmm"))</f>
        <v/>
      </c>
    </row>
    <row r="172">
      <c r="A172" s="14" t="n">
        <v>112</v>
      </c>
      <c r="B172" s="14" t="n">
        <v>893</v>
      </c>
      <c r="C172" t="inlineStr">
        <is>
          <t>تشريع توضيحي 171</t>
        </is>
      </c>
      <c r="D172" s="14" t="inlineStr">
        <is>
          <t>الحوكمة</t>
        </is>
      </c>
      <c r="E172" s="14" t="inlineStr">
        <is>
          <t>الحوكمة</t>
        </is>
      </c>
      <c r="F172" s="268" t="n">
        <v>46185</v>
      </c>
      <c r="G172" s="268" t="n">
        <v>46189</v>
      </c>
      <c r="H172" s="268" t="n">
        <v>46213</v>
      </c>
      <c r="I172" s="268" t="n">
        <v>46227</v>
      </c>
      <c r="J172" s="268" t="n">
        <v>46224</v>
      </c>
      <c r="K172" s="268" t="n">
        <v>46224</v>
      </c>
      <c r="L172" s="268" t="n">
        <v>46227</v>
      </c>
      <c r="M172" s="268" t="inlineStr">
        <is>
          <t>في الموعد</t>
        </is>
      </c>
      <c r="N172" s="268" t="n"/>
      <c r="O172" s="7" t="inlineStr">
        <is>
          <t>مغلق</t>
        </is>
      </c>
      <c r="P172" s="7" t="inlineStr">
        <is>
          <t>محلي</t>
        </is>
      </c>
      <c r="Q172" s="14" t="inlineStr">
        <is>
          <t>اللجنة العليا للتشريعات في إمارة دبي</t>
        </is>
      </c>
      <c r="R172" s="14" t="n"/>
      <c r="S172" s="14" t="n"/>
      <c r="T172" s="14" t="n">
        <v>2026</v>
      </c>
      <c r="U172" s="14">
        <f>IF(
K172&lt;&gt;"",
"",
IF(
IF(I172&lt;&gt;"",I172,H172)="",
"",
IF(
ValidationDate&gt;IF(I172&lt;&gt;"",I172,H172),
"متأخر",
""
)
)
)</f>
        <v/>
      </c>
      <c r="V172" s="14">
        <f>IF(
OR(
M172&lt;&gt;"في الموعد",
NOT(ISNUMBER(K172)),
NOT(ISNUMBER(H172))
),
"",
IF(
INT(K172)&gt;INT(H172),
"متأخر",
""
)
)</f>
        <v/>
      </c>
      <c r="W172" s="14">
        <f>IF(COUNT(F172:K172)=0,"",TEXT(IF(K172&lt;&gt;"",K172,IF(I172&lt;&gt;"",I172,IF(J172&lt;&gt;"",J172,IF(H172&lt;&gt;"",H172,IF(G172&lt;&gt;"",G172,F172))))),"[$-en-US]mmm"))</f>
        <v/>
      </c>
    </row>
    <row r="173">
      <c r="A173" s="14" t="n">
        <v>124</v>
      </c>
      <c r="B173" s="14" t="n">
        <v>992</v>
      </c>
      <c r="C173" t="inlineStr">
        <is>
          <t>تشريع توضيحي 172</t>
        </is>
      </c>
      <c r="D173" s="14" t="inlineStr">
        <is>
          <t>الحوكمة</t>
        </is>
      </c>
      <c r="E173" s="14" t="inlineStr">
        <is>
          <t>الحوكمة</t>
        </is>
      </c>
      <c r="F173" s="268" t="n">
        <v>46206</v>
      </c>
      <c r="G173" s="268" t="n">
        <v>46209</v>
      </c>
      <c r="H173" s="268" t="n">
        <v>46216</v>
      </c>
      <c r="I173" s="268" t="n"/>
      <c r="J173" s="268" t="n">
        <v>46211</v>
      </c>
      <c r="K173" s="268" t="n">
        <v>46216</v>
      </c>
      <c r="L173" s="268" t="n">
        <v>46217</v>
      </c>
      <c r="M173" s="268" t="inlineStr">
        <is>
          <t>في الموعد</t>
        </is>
      </c>
      <c r="N173" s="268" t="n"/>
      <c r="O173" s="7" t="inlineStr">
        <is>
          <t>مغلق</t>
        </is>
      </c>
      <c r="P173" s="7" t="inlineStr">
        <is>
          <t>محلي</t>
        </is>
      </c>
      <c r="Q173" s="14" t="inlineStr">
        <is>
          <t>اللجنة العليا للتشريعات في إمارة دبي</t>
        </is>
      </c>
      <c r="R173" s="14" t="n"/>
      <c r="S173" s="14" t="n"/>
      <c r="T173" s="14" t="n">
        <v>2026</v>
      </c>
      <c r="U173" s="14">
        <f>IF(
K173&lt;&gt;"",
"",
IF(
IF(I173&lt;&gt;"",I173,H173)="",
"",
IF(
ValidationDate&gt;IF(I173&lt;&gt;"",I173,H173),
"متأخر",
""
)
)
)</f>
        <v/>
      </c>
      <c r="V173" s="14">
        <f>IF(
OR(
M173&lt;&gt;"في الموعد",
NOT(ISNUMBER(K173)),
NOT(ISNUMBER(H173))
),
"",
IF(
INT(K173)&gt;INT(H173),
"متأخر",
""
)
)</f>
        <v/>
      </c>
      <c r="W173" s="14">
        <f>IF(COUNT(F173:K173)=0,"",TEXT(IF(K173&lt;&gt;"",K173,IF(I173&lt;&gt;"",I173,IF(J173&lt;&gt;"",J173,IF(H173&lt;&gt;"",H173,IF(G173&lt;&gt;"",G173,F173))))),"[$-en-US]mmm"))</f>
        <v/>
      </c>
    </row>
    <row r="174">
      <c r="A174" s="14" t="n">
        <v>128</v>
      </c>
      <c r="B174" s="14" t="n">
        <v>1006</v>
      </c>
      <c r="C174" t="inlineStr">
        <is>
          <t>تشريع توضيحي 173</t>
        </is>
      </c>
      <c r="D174" s="14" t="inlineStr">
        <is>
          <t>الحوكمة</t>
        </is>
      </c>
      <c r="E174" s="14" t="inlineStr">
        <is>
          <t>الحوكمة</t>
        </is>
      </c>
      <c r="F174" s="268" t="n">
        <v>46209</v>
      </c>
      <c r="G174" s="268" t="n">
        <v>46209</v>
      </c>
      <c r="H174" s="268" t="n">
        <v>46227</v>
      </c>
      <c r="I174" s="268" t="n"/>
      <c r="J174" s="268" t="n">
        <v>46224</v>
      </c>
      <c r="K174" s="268" t="n">
        <v>46223</v>
      </c>
      <c r="L174" s="268" t="n">
        <v>46224</v>
      </c>
      <c r="M174" s="268" t="inlineStr">
        <is>
          <t>في الموعد</t>
        </is>
      </c>
      <c r="N174" s="268" t="n"/>
      <c r="O174" s="7" t="inlineStr">
        <is>
          <t>مغلق</t>
        </is>
      </c>
      <c r="P174" s="7" t="inlineStr">
        <is>
          <t>محلي</t>
        </is>
      </c>
      <c r="Q174" s="14" t="inlineStr">
        <is>
          <t>اللجنة العليا للتشريعات في إمارة دبي</t>
        </is>
      </c>
      <c r="R174" s="14" t="n"/>
      <c r="S174" s="14" t="n"/>
      <c r="T174" s="14" t="n">
        <v>2026</v>
      </c>
      <c r="U174" s="14">
        <f>IF(
K174&lt;&gt;"",
"",
IF(
IF(I174&lt;&gt;"",I174,H174)="",
"",
IF(
ValidationDate&gt;IF(I174&lt;&gt;"",I174,H174),
"متأخر",
""
)
)
)</f>
        <v/>
      </c>
      <c r="V174" s="14">
        <f>IF(
OR(
M174&lt;&gt;"في الموعد",
NOT(ISNUMBER(K174)),
NOT(ISNUMBER(H174))
),
"",
IF(
INT(K174)&gt;INT(H174),
"متأخر",
""
)
)</f>
        <v/>
      </c>
      <c r="W174" s="14">
        <f>IF(COUNT(F174:K174)=0,"",TEXT(IF(K174&lt;&gt;"",K174,IF(I174&lt;&gt;"",I174,IF(J174&lt;&gt;"",J174,IF(H174&lt;&gt;"",H174,IF(G174&lt;&gt;"",G174,F174))))),"[$-en-US]mmm"))</f>
        <v/>
      </c>
    </row>
    <row r="175">
      <c r="A175" s="14" t="n">
        <v>131</v>
      </c>
      <c r="B175" s="14" t="n">
        <v>1025</v>
      </c>
      <c r="C175" t="inlineStr">
        <is>
          <t>تشريع توضيحي 174</t>
        </is>
      </c>
      <c r="D175" s="14" t="inlineStr">
        <is>
          <t>الحوكمة</t>
        </is>
      </c>
      <c r="E175" s="14" t="inlineStr">
        <is>
          <t>الحوكمة</t>
        </is>
      </c>
      <c r="F175" s="268" t="n">
        <v>46212</v>
      </c>
      <c r="G175" s="268" t="n">
        <v>46212</v>
      </c>
      <c r="H175" s="268" t="n">
        <v>46234</v>
      </c>
      <c r="I175" s="268" t="n"/>
      <c r="J175" s="268" t="n">
        <v>46231</v>
      </c>
      <c r="K175" s="268" t="n">
        <v>46232</v>
      </c>
      <c r="L175" s="268" t="n">
        <v>46290</v>
      </c>
      <c r="M175" s="268" t="inlineStr">
        <is>
          <t>في الموعد</t>
        </is>
      </c>
      <c r="N175" s="268" t="n"/>
      <c r="O175" s="7" t="inlineStr">
        <is>
          <t>مغلق</t>
        </is>
      </c>
      <c r="P175" s="7" t="inlineStr">
        <is>
          <t>محلي</t>
        </is>
      </c>
      <c r="Q175" s="14" t="inlineStr">
        <is>
          <t>اللجنة العليا للتشريعات في إمارة دبي</t>
        </is>
      </c>
      <c r="R175" s="14" t="n"/>
      <c r="S175" s="14" t="n"/>
      <c r="T175" s="14" t="n">
        <v>2026</v>
      </c>
      <c r="U175" s="14">
        <f>IF(
K175&lt;&gt;"",
"",
IF(
IF(I175&lt;&gt;"",I175,H175)="",
"",
IF(
ValidationDate&gt;IF(I175&lt;&gt;"",I175,H175),
"متأخر",
""
)
)
)</f>
        <v/>
      </c>
      <c r="V175" s="14">
        <f>IF(
OR(
M175&lt;&gt;"في الموعد",
NOT(ISNUMBER(K175)),
NOT(ISNUMBER(H175))
),
"",
IF(
INT(K175)&gt;INT(H175),
"متأخر",
""
)
)</f>
        <v/>
      </c>
      <c r="W175" s="14">
        <f>IF(COUNT(F175:K175)=0,"",TEXT(IF(K175&lt;&gt;"",K175,IF(I175&lt;&gt;"",I175,IF(J175&lt;&gt;"",J175,IF(H175&lt;&gt;"",H175,IF(G175&lt;&gt;"",G175,F175))))),"[$-en-US]mmm"))</f>
        <v/>
      </c>
    </row>
    <row r="176">
      <c r="A176" s="14" t="n">
        <v>140</v>
      </c>
      <c r="B176" s="14" t="n">
        <v>1122</v>
      </c>
      <c r="C176" t="inlineStr">
        <is>
          <t>تشريع توضيحي 175</t>
        </is>
      </c>
      <c r="D176" s="14" t="inlineStr">
        <is>
          <t>الحوكمة</t>
        </is>
      </c>
      <c r="E176" s="14" t="inlineStr">
        <is>
          <t>الحوكمة</t>
        </is>
      </c>
      <c r="F176" s="268" t="n">
        <v>46226</v>
      </c>
      <c r="G176" s="268" t="n">
        <v>46226</v>
      </c>
      <c r="H176" s="268" t="n">
        <v>46241</v>
      </c>
      <c r="I176" s="268" t="n"/>
      <c r="J176" s="268" t="n">
        <v>46238</v>
      </c>
      <c r="K176" s="268" t="n">
        <v>46233</v>
      </c>
      <c r="L176" s="268" t="n">
        <v>46234</v>
      </c>
      <c r="M176" s="268" t="inlineStr">
        <is>
          <t>في الموعد</t>
        </is>
      </c>
      <c r="N176" s="268" t="n"/>
      <c r="O176" s="7" t="inlineStr">
        <is>
          <t>مغلق</t>
        </is>
      </c>
      <c r="P176" s="7" t="inlineStr">
        <is>
          <t>محلي</t>
        </is>
      </c>
      <c r="Q176" s="14" t="inlineStr">
        <is>
          <t>اللجنة العليا للتشريعات في إمارة دبي</t>
        </is>
      </c>
      <c r="R176" s="14" t="n"/>
      <c r="S176" s="14" t="n"/>
      <c r="T176" s="14" t="n">
        <v>2026</v>
      </c>
      <c r="U176" s="14">
        <f>IF(
K176&lt;&gt;"",
"",
IF(
IF(I176&lt;&gt;"",I176,H176)="",
"",
IF(
ValidationDate&gt;IF(I176&lt;&gt;"",I176,H176),
"متأخر",
""
)
)
)</f>
        <v/>
      </c>
      <c r="V176" s="14">
        <f>IF(
OR(
M176&lt;&gt;"في الموعد",
NOT(ISNUMBER(K176)),
NOT(ISNUMBER(H176))
),
"",
IF(
INT(K176)&gt;INT(H176),
"متأخر",
""
)
)</f>
        <v/>
      </c>
      <c r="W176" s="14">
        <f>IF(COUNT(F176:K176)=0,"",TEXT(IF(K176&lt;&gt;"",K176,IF(I176&lt;&gt;"",I176,IF(J176&lt;&gt;"",J176,IF(H176&lt;&gt;"",H176,IF(G176&lt;&gt;"",G176,F176))))),"[$-en-US]mmm"))</f>
        <v/>
      </c>
    </row>
    <row r="177">
      <c r="A177" s="14" t="n">
        <v>143</v>
      </c>
      <c r="B177" s="14" t="n">
        <v>1140</v>
      </c>
      <c r="C177" t="inlineStr">
        <is>
          <t>تشريع توضيحي 176</t>
        </is>
      </c>
      <c r="D177" s="14" t="inlineStr">
        <is>
          <t>الحوكمة</t>
        </is>
      </c>
      <c r="E177" s="14" t="inlineStr">
        <is>
          <t>الحوكمة</t>
        </is>
      </c>
      <c r="F177" s="268" t="n">
        <v>46230</v>
      </c>
      <c r="G177" s="268" t="n">
        <v>46230</v>
      </c>
      <c r="H177" s="268" t="n">
        <v>46241</v>
      </c>
      <c r="I177" s="268" t="n"/>
      <c r="J177" s="268" t="n">
        <v>46238</v>
      </c>
      <c r="K177" s="268" t="n">
        <v>46240</v>
      </c>
      <c r="L177" s="268" t="n">
        <v>46254</v>
      </c>
      <c r="M177" s="268" t="inlineStr">
        <is>
          <t>في الموعد</t>
        </is>
      </c>
      <c r="N177" s="268" t="n"/>
      <c r="O177" s="7" t="inlineStr">
        <is>
          <t>مغلق</t>
        </is>
      </c>
      <c r="P177" s="7" t="inlineStr">
        <is>
          <t>محلي</t>
        </is>
      </c>
      <c r="Q177" s="14" t="inlineStr">
        <is>
          <t>اللجنة العليا للتشريعات في إمارة دبي</t>
        </is>
      </c>
      <c r="R177" s="14" t="n"/>
      <c r="S177" s="14" t="n"/>
      <c r="T177" s="14" t="n">
        <v>2026</v>
      </c>
      <c r="U177" s="14">
        <f>IF(
K177&lt;&gt;"",
"",
IF(
IF(I177&lt;&gt;"",I177,H177)="",
"",
IF(
ValidationDate&gt;IF(I177&lt;&gt;"",I177,H177),
"متأخر",
""
)
)
)</f>
        <v/>
      </c>
      <c r="V177" s="14">
        <f>IF(
OR(
M177&lt;&gt;"في الموعد",
NOT(ISNUMBER(K177)),
NOT(ISNUMBER(H177))
),
"",
IF(
INT(K177)&gt;INT(H177),
"متأخر",
""
)
)</f>
        <v/>
      </c>
      <c r="W177" s="14">
        <f>IF(COUNT(F177:K177)=0,"",TEXT(IF(K177&lt;&gt;"",K177,IF(I177&lt;&gt;"",I177,IF(J177&lt;&gt;"",J177,IF(H177&lt;&gt;"",H177,IF(G177&lt;&gt;"",G177,F177))))),"[$-en-US]mmm"))</f>
        <v/>
      </c>
    </row>
    <row r="178">
      <c r="A178" s="14" t="n">
        <v>145</v>
      </c>
      <c r="B178" s="14" t="n">
        <v>1146</v>
      </c>
      <c r="C178" t="inlineStr">
        <is>
          <t>تشريع توضيحي 177</t>
        </is>
      </c>
      <c r="D178" s="14" t="inlineStr">
        <is>
          <t>الحوكمة</t>
        </is>
      </c>
      <c r="E178" s="14" t="inlineStr">
        <is>
          <t>الحوكمة</t>
        </is>
      </c>
      <c r="F178" s="268" t="n">
        <v>46232</v>
      </c>
      <c r="G178" s="268" t="n">
        <v>46232</v>
      </c>
      <c r="H178" s="268" t="n">
        <v>46248</v>
      </c>
      <c r="I178" s="268" t="n"/>
      <c r="J178" s="268" t="n">
        <v>46245</v>
      </c>
      <c r="K178" s="268" t="n">
        <v>46245</v>
      </c>
      <c r="L178" s="268" t="n">
        <v>46246</v>
      </c>
      <c r="M178" s="268" t="inlineStr">
        <is>
          <t>في الموعد</t>
        </is>
      </c>
      <c r="N178" s="268" t="n"/>
      <c r="O178" s="7" t="inlineStr">
        <is>
          <t>مغلق</t>
        </is>
      </c>
      <c r="P178" s="7" t="inlineStr">
        <is>
          <t>محلي</t>
        </is>
      </c>
      <c r="Q178" s="14" t="inlineStr">
        <is>
          <t>هيئة تنمية المجتمع</t>
        </is>
      </c>
      <c r="R178" s="14" t="n"/>
      <c r="S178" s="14" t="n"/>
      <c r="T178" s="14" t="n">
        <v>2026</v>
      </c>
      <c r="U178" s="14">
        <f>IF(
K178&lt;&gt;"",
"",
IF(
IF(I178&lt;&gt;"",I178,H178)="",
"",
IF(
ValidationDate&gt;IF(I178&lt;&gt;"",I178,H178),
"متأخر",
""
)
)
)</f>
        <v/>
      </c>
      <c r="V178" s="14">
        <f>IF(
OR(
M178&lt;&gt;"في الموعد",
NOT(ISNUMBER(K178)),
NOT(ISNUMBER(H178))
),
"",
IF(
INT(K178)&gt;INT(H178),
"متأخر",
""
)
)</f>
        <v/>
      </c>
      <c r="W178" s="14">
        <f>IF(COUNT(F178:K178)=0,"",TEXT(IF(K178&lt;&gt;"",K178,IF(I178&lt;&gt;"",I178,IF(J178&lt;&gt;"",J178,IF(H178&lt;&gt;"",H178,IF(G178&lt;&gt;"",G178,F178))))),"[$-en-US]mmm"))</f>
        <v/>
      </c>
    </row>
    <row r="179">
      <c r="A179" s="14" t="n">
        <v>147</v>
      </c>
      <c r="B179" s="14" t="n">
        <v>1150</v>
      </c>
      <c r="C179" t="inlineStr">
        <is>
          <t>تشريع توضيحي 178</t>
        </is>
      </c>
      <c r="D179" s="14" t="inlineStr">
        <is>
          <t>الحوكمة</t>
        </is>
      </c>
      <c r="E179" s="14" t="inlineStr">
        <is>
          <t>الحوكمة</t>
        </is>
      </c>
      <c r="F179" s="268" t="n">
        <v>46231</v>
      </c>
      <c r="G179" s="268" t="n">
        <v>46232</v>
      </c>
      <c r="H179" s="268" t="n">
        <v>46241</v>
      </c>
      <c r="I179" s="268" t="n"/>
      <c r="J179" s="268" t="n">
        <v>46238</v>
      </c>
      <c r="K179" s="268" t="n">
        <v>46239</v>
      </c>
      <c r="L179" s="268" t="n">
        <v>46244</v>
      </c>
      <c r="M179" s="268" t="inlineStr">
        <is>
          <t>في الموعد</t>
        </is>
      </c>
      <c r="N179" s="268" t="n"/>
      <c r="O179" s="7" t="inlineStr">
        <is>
          <t>مغلق</t>
        </is>
      </c>
      <c r="P179" s="7" t="inlineStr">
        <is>
          <t>محلي</t>
        </is>
      </c>
      <c r="Q179" s="14" t="inlineStr">
        <is>
          <t>اللجنة العليا للتشريعات في إمارة دبي</t>
        </is>
      </c>
      <c r="R179" s="14" t="n"/>
      <c r="S179" s="14" t="n"/>
      <c r="T179" s="14" t="n">
        <v>2026</v>
      </c>
      <c r="U179" s="14">
        <f>IF(
K179&lt;&gt;"",
"",
IF(
IF(I179&lt;&gt;"",I179,H179)="",
"",
IF(
ValidationDate&gt;IF(I179&lt;&gt;"",I179,H179),
"متأخر",
""
)
)
)</f>
        <v/>
      </c>
      <c r="V179" s="14">
        <f>IF(
OR(
M179&lt;&gt;"في الموعد",
NOT(ISNUMBER(K179)),
NOT(ISNUMBER(H179))
),
"",
IF(
INT(K179)&gt;INT(H179),
"متأخر",
""
)
)</f>
        <v/>
      </c>
      <c r="W179" s="14">
        <f>IF(COUNT(F179:K179)=0,"",TEXT(IF(K179&lt;&gt;"",K179,IF(I179&lt;&gt;"",I179,IF(J179&lt;&gt;"",J179,IF(H179&lt;&gt;"",H179,IF(G179&lt;&gt;"",G179,F179))))),"[$-en-US]mmm"))</f>
        <v/>
      </c>
    </row>
    <row r="180">
      <c r="A180" s="14" t="n">
        <v>148</v>
      </c>
      <c r="B180" s="14" t="n">
        <v>1155</v>
      </c>
      <c r="C180" t="inlineStr">
        <is>
          <t>تشريع توضيحي 179</t>
        </is>
      </c>
      <c r="D180" s="14" t="inlineStr">
        <is>
          <t>الحوكمة</t>
        </is>
      </c>
      <c r="E180" s="14" t="inlineStr">
        <is>
          <t>الحوكمة</t>
        </is>
      </c>
      <c r="F180" s="268" t="n">
        <v>46233</v>
      </c>
      <c r="G180" s="268" t="n">
        <v>46233</v>
      </c>
      <c r="H180" s="268" t="n">
        <v>46245</v>
      </c>
      <c r="I180" s="268" t="n">
        <v>46265</v>
      </c>
      <c r="J180" s="268" t="n">
        <v>46241</v>
      </c>
      <c r="K180" s="268" t="n"/>
      <c r="L180" s="268" t="n"/>
      <c r="M180" s="268" t="inlineStr">
        <is>
          <t>قيد الإجراء</t>
        </is>
      </c>
      <c r="N180" s="268" t="n"/>
      <c r="O180" s="7" t="inlineStr">
        <is>
          <t>قيد المراجعة</t>
        </is>
      </c>
      <c r="P180" s="7" t="inlineStr">
        <is>
          <t>محلي</t>
        </is>
      </c>
      <c r="Q180" s="14" t="inlineStr">
        <is>
          <t>اللجنة العليا للتشريعات في إمارة دبي</t>
        </is>
      </c>
      <c r="R180" s="14" t="n"/>
      <c r="S180" s="14" t="n"/>
      <c r="T180" s="14" t="n">
        <v>2026</v>
      </c>
      <c r="U180" s="14">
        <f>IF(
K180&lt;&gt;"",
"",
IF(
IF(I180&lt;&gt;"",I180,H180)="",
"",
IF(
ValidationDate&gt;IF(I180&lt;&gt;"",I180,H180),
"متأخر",
""
)
)
)</f>
        <v/>
      </c>
      <c r="V180" s="14">
        <f>IF(
OR(
M180&lt;&gt;"في الموعد",
NOT(ISNUMBER(K180)),
NOT(ISNUMBER(H180))
),
"",
IF(
INT(K180)&gt;INT(H180),
"متأخر",
""
)
)</f>
        <v/>
      </c>
      <c r="W180" s="14">
        <f>IF(COUNT(F180:K180)=0,"",TEXT(IF(K180&lt;&gt;"",K180,IF(I180&lt;&gt;"",I180,IF(J180&lt;&gt;"",J180,IF(H180&lt;&gt;"",H180,IF(G180&lt;&gt;"",G180,F180))))),"[$-en-US]mmm"))</f>
        <v/>
      </c>
    </row>
    <row r="181">
      <c r="A181" s="14" t="n">
        <v>149</v>
      </c>
      <c r="B181" s="14" t="n">
        <v>1171</v>
      </c>
      <c r="C181" t="inlineStr">
        <is>
          <t>تشريع توضيحي 180</t>
        </is>
      </c>
      <c r="D181" s="14" t="inlineStr">
        <is>
          <t>الحوكمة</t>
        </is>
      </c>
      <c r="E181" s="14" t="inlineStr">
        <is>
          <t>الحوكمة</t>
        </is>
      </c>
      <c r="F181" s="268" t="n">
        <v>46234</v>
      </c>
      <c r="G181" s="268" t="n">
        <v>46234</v>
      </c>
      <c r="H181" s="268" t="n">
        <v>46255</v>
      </c>
      <c r="I181" s="268" t="n"/>
      <c r="J181" s="268" t="n">
        <v>46252</v>
      </c>
      <c r="K181" s="268" t="n">
        <v>46240</v>
      </c>
      <c r="L181" s="268" t="n">
        <v>46244</v>
      </c>
      <c r="M181" s="268" t="inlineStr">
        <is>
          <t>في الموعد</t>
        </is>
      </c>
      <c r="N181" s="268" t="n"/>
      <c r="O181" s="7" t="inlineStr">
        <is>
          <t>مغلق</t>
        </is>
      </c>
      <c r="P181" s="7" t="inlineStr">
        <is>
          <t>محلي</t>
        </is>
      </c>
      <c r="Q181" s="14" t="inlineStr">
        <is>
          <t>اللجنة العليا للتشريعات في إمارة دبي</t>
        </is>
      </c>
      <c r="R181" s="14" t="n"/>
      <c r="S181" s="14" t="n"/>
      <c r="T181" s="14" t="n">
        <v>2026</v>
      </c>
      <c r="U181" s="14">
        <f>IF(
K181&lt;&gt;"",
"",
IF(
IF(I181&lt;&gt;"",I181,H181)="",
"",
IF(
ValidationDate&gt;IF(I181&lt;&gt;"",I181,H181),
"متأخر",
""
)
)
)</f>
        <v/>
      </c>
      <c r="V181" s="14">
        <f>IF(
OR(
M181&lt;&gt;"في الموعد",
NOT(ISNUMBER(K181)),
NOT(ISNUMBER(H181))
),
"",
IF(
INT(K181)&gt;INT(H181),
"متأخر",
""
)
)</f>
        <v/>
      </c>
      <c r="W181" s="14">
        <f>IF(COUNT(F181:K181)=0,"",TEXT(IF(K181&lt;&gt;"",K181,IF(I181&lt;&gt;"",I181,IF(J181&lt;&gt;"",J181,IF(H181&lt;&gt;"",H181,IF(G181&lt;&gt;"",G181,F181))))),"[$-en-US]mmm"))</f>
        <v/>
      </c>
    </row>
    <row r="182">
      <c r="A182" s="14" t="n">
        <v>150</v>
      </c>
      <c r="B182" s="14" t="n">
        <v>1176</v>
      </c>
      <c r="C182" t="inlineStr">
        <is>
          <t>تشريع توضيحي 181</t>
        </is>
      </c>
      <c r="D182" s="14" t="inlineStr">
        <is>
          <t>الحوكمة</t>
        </is>
      </c>
      <c r="E182" s="14" t="inlineStr">
        <is>
          <t>الحوكمة</t>
        </is>
      </c>
      <c r="F182" s="268" t="n">
        <v>46237</v>
      </c>
      <c r="G182" s="268" t="n">
        <v>46237</v>
      </c>
      <c r="H182" s="268" t="n">
        <v>46241</v>
      </c>
      <c r="I182" s="268" t="n"/>
      <c r="J182" s="268" t="n">
        <v>46240</v>
      </c>
      <c r="K182" s="268" t="n">
        <v>46237</v>
      </c>
      <c r="L182" s="268" t="n">
        <v>46241</v>
      </c>
      <c r="M182" s="268" t="inlineStr">
        <is>
          <t>في الموعد</t>
        </is>
      </c>
      <c r="N182" s="268" t="n"/>
      <c r="O182" s="7" t="inlineStr">
        <is>
          <t>مغلق</t>
        </is>
      </c>
      <c r="P182" s="7" t="inlineStr">
        <is>
          <t>محلي</t>
        </is>
      </c>
      <c r="Q182" s="14" t="inlineStr">
        <is>
          <t>اللجنة العليا للتشريعات في إمارة دبي</t>
        </is>
      </c>
      <c r="R182" s="14" t="n"/>
      <c r="S182" s="14" t="n"/>
      <c r="T182" s="14" t="n">
        <v>2026</v>
      </c>
      <c r="U182" s="14">
        <f>IF(
K182&lt;&gt;"",
"",
IF(
IF(I182&lt;&gt;"",I182,H182)="",
"",
IF(
ValidationDate&gt;IF(I182&lt;&gt;"",I182,H182),
"متأخر",
""
)
)
)</f>
        <v/>
      </c>
      <c r="V182" s="14">
        <f>IF(
OR(
M182&lt;&gt;"في الموعد",
NOT(ISNUMBER(K182)),
NOT(ISNUMBER(H182))
),
"",
IF(
INT(K182)&gt;INT(H182),
"متأخر",
""
)
)</f>
        <v/>
      </c>
      <c r="W182" s="14">
        <f>IF(COUNT(F182:K182)=0,"",TEXT(IF(K182&lt;&gt;"",K182,IF(I182&lt;&gt;"",I182,IF(J182&lt;&gt;"",J182,IF(H182&lt;&gt;"",H182,IF(G182&lt;&gt;"",G182,F182))))),"[$-en-US]mmm"))</f>
        <v/>
      </c>
    </row>
    <row r="183">
      <c r="A183" s="14" t="n">
        <v>159</v>
      </c>
      <c r="B183" s="14" t="n">
        <v>1224</v>
      </c>
      <c r="C183" t="inlineStr">
        <is>
          <t>تشريع توضيحي 182</t>
        </is>
      </c>
      <c r="D183" s="14" t="inlineStr">
        <is>
          <t>الحوكمة</t>
        </is>
      </c>
      <c r="E183" s="14" t="inlineStr">
        <is>
          <t>الحوكمة</t>
        </is>
      </c>
      <c r="F183" s="268" t="n">
        <v>46246</v>
      </c>
      <c r="G183" s="268" t="n">
        <v>46246</v>
      </c>
      <c r="H183" s="268" t="n">
        <v>46255</v>
      </c>
      <c r="I183" s="268" t="n"/>
      <c r="J183" s="268" t="n">
        <v>46252</v>
      </c>
      <c r="K183" s="268" t="n">
        <v>46247</v>
      </c>
      <c r="L183" s="268" t="n">
        <v>46248</v>
      </c>
      <c r="M183" s="268" t="inlineStr">
        <is>
          <t>في الموعد</t>
        </is>
      </c>
      <c r="N183" s="268" t="n"/>
      <c r="O183" s="7" t="inlineStr">
        <is>
          <t>مغلق</t>
        </is>
      </c>
      <c r="P183" s="7" t="inlineStr">
        <is>
          <t>محلي</t>
        </is>
      </c>
      <c r="Q183" s="14" t="inlineStr">
        <is>
          <t>اللجنة العليا للتشريعات في إمارة دبي</t>
        </is>
      </c>
      <c r="R183" s="14" t="n"/>
      <c r="S183" s="14" t="n"/>
      <c r="T183" s="14" t="n">
        <v>2026</v>
      </c>
      <c r="U183" s="14">
        <f>IF(
K183&lt;&gt;"",
"",
IF(
IF(I183&lt;&gt;"",I183,H183)="",
"",
IF(
ValidationDate&gt;IF(I183&lt;&gt;"",I183,H183),
"متأخر",
""
)
)
)</f>
        <v/>
      </c>
      <c r="V183" s="14">
        <f>IF(
OR(
M183&lt;&gt;"في الموعد",
NOT(ISNUMBER(K183)),
NOT(ISNUMBER(H183))
),
"",
IF(
INT(K183)&gt;INT(H183),
"متأخر",
""
)
)</f>
        <v/>
      </c>
      <c r="W183" s="14">
        <f>IF(COUNT(F183:K183)=0,"",TEXT(IF(K183&lt;&gt;"",K183,IF(I183&lt;&gt;"",I183,IF(J183&lt;&gt;"",J183,IF(H183&lt;&gt;"",H183,IF(G183&lt;&gt;"",G183,F183))))),"[$-en-US]mmm"))</f>
        <v/>
      </c>
    </row>
    <row r="184">
      <c r="A184" s="14" t="n">
        <v>163</v>
      </c>
      <c r="B184" s="14" t="n">
        <v>1233</v>
      </c>
      <c r="C184" t="inlineStr">
        <is>
          <t>تشريع توضيحي 183</t>
        </is>
      </c>
      <c r="D184" s="14" t="inlineStr">
        <is>
          <t>الحوكمة</t>
        </is>
      </c>
      <c r="E184" s="14" t="inlineStr">
        <is>
          <t>الحوكمة</t>
        </is>
      </c>
      <c r="F184" s="268" t="n">
        <v>46247</v>
      </c>
      <c r="G184" s="268" t="n">
        <v>46247</v>
      </c>
      <c r="H184" s="268" t="n">
        <v>46262</v>
      </c>
      <c r="I184" s="268" t="n"/>
      <c r="J184" s="268" t="n">
        <v>46259</v>
      </c>
      <c r="K184" s="268" t="n">
        <v>46260</v>
      </c>
      <c r="L184" s="268" t="n">
        <v>46261</v>
      </c>
      <c r="M184" s="268" t="inlineStr">
        <is>
          <t>في الموعد</t>
        </is>
      </c>
      <c r="N184" s="268" t="n"/>
      <c r="O184" s="7" t="inlineStr">
        <is>
          <t>مغلق</t>
        </is>
      </c>
      <c r="P184" s="7" t="inlineStr">
        <is>
          <t>محلي</t>
        </is>
      </c>
      <c r="Q184" s="14" t="inlineStr">
        <is>
          <t>اللجنة العليا للتشريعات في إمارة دبي</t>
        </is>
      </c>
      <c r="R184" s="14" t="n"/>
      <c r="S184" s="14" t="n"/>
      <c r="T184" s="14" t="n">
        <v>2026</v>
      </c>
      <c r="U184" s="14">
        <f>IF(
K184&lt;&gt;"",
"",
IF(
IF(I184&lt;&gt;"",I184,H184)="",
"",
IF(
ValidationDate&gt;IF(I184&lt;&gt;"",I184,H184),
"متأخر",
""
)
)
)</f>
        <v/>
      </c>
      <c r="V184" s="14">
        <f>IF(
OR(
M184&lt;&gt;"في الموعد",
NOT(ISNUMBER(K184)),
NOT(ISNUMBER(H184))
),
"",
IF(
INT(K184)&gt;INT(H184),
"متأخر",
""
)
)</f>
        <v/>
      </c>
      <c r="W184" s="14">
        <f>IF(COUNT(F184:K184)=0,"",TEXT(IF(K184&lt;&gt;"",K184,IF(I184&lt;&gt;"",I184,IF(J184&lt;&gt;"",J184,IF(H184&lt;&gt;"",H184,IF(G184&lt;&gt;"",G184,F184))))),"[$-en-US]mmm"))</f>
        <v/>
      </c>
    </row>
    <row r="185">
      <c r="A185" s="14" t="n">
        <v>168</v>
      </c>
      <c r="B185" s="14" t="n">
        <v>1255</v>
      </c>
      <c r="C185" t="inlineStr">
        <is>
          <t>تشريع توضيحي 184</t>
        </is>
      </c>
      <c r="D185" s="14" t="inlineStr">
        <is>
          <t>الحوكمة</t>
        </is>
      </c>
      <c r="E185" s="14" t="inlineStr">
        <is>
          <t>الحوكمة</t>
        </is>
      </c>
      <c r="F185" s="268" t="n">
        <v>46252</v>
      </c>
      <c r="G185" s="268" t="n">
        <v>46252</v>
      </c>
      <c r="H185" s="268" t="n">
        <v>46276</v>
      </c>
      <c r="I185" s="268" t="n"/>
      <c r="J185" s="268" t="n">
        <v>46273</v>
      </c>
      <c r="K185" s="268" t="n">
        <v>46253</v>
      </c>
      <c r="L185" s="268" t="n">
        <v>46254</v>
      </c>
      <c r="M185" s="268" t="inlineStr">
        <is>
          <t>في الموعد</t>
        </is>
      </c>
      <c r="N185" s="268" t="n"/>
      <c r="O185" s="7" t="inlineStr">
        <is>
          <t>مغلق</t>
        </is>
      </c>
      <c r="P185" s="7" t="inlineStr">
        <is>
          <t>محلي</t>
        </is>
      </c>
      <c r="Q185" s="14" t="inlineStr">
        <is>
          <t>اللجنة العليا للتشريعات في إمارة دبي</t>
        </is>
      </c>
      <c r="R185" s="14" t="n"/>
      <c r="S185" s="14" t="n"/>
      <c r="T185" s="14" t="n">
        <v>2026</v>
      </c>
      <c r="U185" s="14">
        <f>IF(
K185&lt;&gt;"",
"",
IF(
IF(I185&lt;&gt;"",I185,H185)="",
"",
IF(
ValidationDate&gt;IF(I185&lt;&gt;"",I185,H185),
"متأخر",
""
)
)
)</f>
        <v/>
      </c>
      <c r="V185" s="14">
        <f>IF(
OR(
M185&lt;&gt;"في الموعد",
NOT(ISNUMBER(K185)),
NOT(ISNUMBER(H185))
),
"",
IF(
INT(K185)&gt;INT(H185),
"متأخر",
""
)
)</f>
        <v/>
      </c>
      <c r="W185" s="14">
        <f>IF(COUNT(F185:K185)=0,"",TEXT(IF(K185&lt;&gt;"",K185,IF(I185&lt;&gt;"",I185,IF(J185&lt;&gt;"",J185,IF(H185&lt;&gt;"",H185,IF(G185&lt;&gt;"",G185,F185))))),"[$-en-US]mmm"))</f>
        <v/>
      </c>
    </row>
    <row r="186">
      <c r="A186" s="14" t="n">
        <v>170</v>
      </c>
      <c r="B186" s="14" t="n">
        <v>1260</v>
      </c>
      <c r="C186" t="inlineStr">
        <is>
          <t>تشريع توضيحي 185</t>
        </is>
      </c>
      <c r="D186" s="14" t="inlineStr">
        <is>
          <t>الحوكمة</t>
        </is>
      </c>
      <c r="E186" s="14" t="inlineStr">
        <is>
          <t>الحوكمة</t>
        </is>
      </c>
      <c r="F186" s="268" t="n">
        <v>46253</v>
      </c>
      <c r="G186" s="268" t="n">
        <v>46253</v>
      </c>
      <c r="H186" s="268" t="n">
        <v>46261</v>
      </c>
      <c r="I186" s="268" t="n"/>
      <c r="J186" s="268" t="n">
        <v>46259</v>
      </c>
      <c r="K186" s="268" t="n">
        <v>46260</v>
      </c>
      <c r="L186" s="268" t="n">
        <v>46261</v>
      </c>
      <c r="M186" s="268" t="inlineStr">
        <is>
          <t>في الموعد</t>
        </is>
      </c>
      <c r="N186" s="268" t="n"/>
      <c r="O186" s="7" t="inlineStr">
        <is>
          <t>مغلق</t>
        </is>
      </c>
      <c r="P186" s="7" t="inlineStr">
        <is>
          <t>محلي</t>
        </is>
      </c>
      <c r="Q186" s="14" t="inlineStr">
        <is>
          <t>اللجنة العليا للتشريعات في إمارة دبي</t>
        </is>
      </c>
      <c r="R186" s="14" t="n"/>
      <c r="S186" s="14" t="n"/>
      <c r="T186" s="14" t="n">
        <v>2026</v>
      </c>
      <c r="U186" s="14">
        <f>IF(
K186&lt;&gt;"",
"",
IF(
IF(I186&lt;&gt;"",I186,H186)="",
"",
IF(
ValidationDate&gt;IF(I186&lt;&gt;"",I186,H186),
"متأخر",
""
)
)
)</f>
        <v/>
      </c>
      <c r="V186" s="14">
        <f>IF(
OR(
M186&lt;&gt;"في الموعد",
NOT(ISNUMBER(K186)),
NOT(ISNUMBER(H186))
),
"",
IF(
INT(K186)&gt;INT(H186),
"متأخر",
""
)
)</f>
        <v/>
      </c>
      <c r="W186" s="14">
        <f>IF(COUNT(F186:K186)=0,"",TEXT(IF(K186&lt;&gt;"",K186,IF(I186&lt;&gt;"",I186,IF(J186&lt;&gt;"",J186,IF(H186&lt;&gt;"",H186,IF(G186&lt;&gt;"",G186,F186))))),"[$-en-US]mmm"))</f>
        <v/>
      </c>
    </row>
    <row r="187">
      <c r="A187" s="14" t="n">
        <v>182</v>
      </c>
      <c r="B187" s="14" t="n">
        <v>1341</v>
      </c>
      <c r="C187" t="inlineStr">
        <is>
          <t>تشريع توضيحي 186</t>
        </is>
      </c>
      <c r="D187" s="14" t="inlineStr">
        <is>
          <t>الحوكمة</t>
        </is>
      </c>
      <c r="E187" s="14" t="inlineStr">
        <is>
          <t>الحوكمة</t>
        </is>
      </c>
      <c r="F187" s="268" t="n">
        <v>46273</v>
      </c>
      <c r="G187" s="268" t="n">
        <v>46273</v>
      </c>
      <c r="H187" s="268" t="n">
        <v>46297</v>
      </c>
      <c r="I187" s="268" t="n"/>
      <c r="J187" s="268" t="n">
        <v>46294</v>
      </c>
      <c r="K187" s="268" t="n">
        <v>46297</v>
      </c>
      <c r="L187" s="268" t="n">
        <v>46300</v>
      </c>
      <c r="M187" s="268" t="inlineStr">
        <is>
          <t>في الموعد</t>
        </is>
      </c>
      <c r="N187" s="268" t="n"/>
      <c r="O187" s="7" t="inlineStr">
        <is>
          <t>مغلق</t>
        </is>
      </c>
      <c r="P187" s="7" t="inlineStr">
        <is>
          <t>محلي</t>
        </is>
      </c>
      <c r="Q187" s="14" t="inlineStr">
        <is>
          <t>اللجنة العليا للتشريعات في إمارة دبي</t>
        </is>
      </c>
      <c r="R187" s="14" t="n"/>
      <c r="S187" s="14" t="n"/>
      <c r="T187" s="14" t="n">
        <v>2026</v>
      </c>
      <c r="U187" s="14">
        <f>IF(
K187&lt;&gt;"",
"",
IF(
IF(I187&lt;&gt;"",I187,H187)="",
"",
IF(
ValidationDate&gt;IF(I187&lt;&gt;"",I187,H187),
"متأخر",
""
)
)
)</f>
        <v/>
      </c>
      <c r="V187" s="14">
        <f>IF(
OR(
M187&lt;&gt;"في الموعد",
NOT(ISNUMBER(K187)),
NOT(ISNUMBER(H187))
),
"",
IF(
INT(K187)&gt;INT(H187),
"متأخر",
""
)
)</f>
        <v/>
      </c>
      <c r="W187" s="14">
        <f>IF(COUNT(F187:K187)=0,"",TEXT(IF(K187&lt;&gt;"",K187,IF(I187&lt;&gt;"",I187,IF(J187&lt;&gt;"",J187,IF(H187&lt;&gt;"",H187,IF(G187&lt;&gt;"",G187,F187))))),"[$-en-US]mmm"))</f>
        <v/>
      </c>
    </row>
    <row r="188">
      <c r="A188" s="14" t="n">
        <v>185</v>
      </c>
      <c r="B188" s="14" t="n">
        <v>1383</v>
      </c>
      <c r="C188" t="inlineStr">
        <is>
          <t>تشريع توضيحي 187</t>
        </is>
      </c>
      <c r="D188" s="14" t="inlineStr">
        <is>
          <t>الحوكمة</t>
        </is>
      </c>
      <c r="E188" s="14" t="inlineStr">
        <is>
          <t>الحوكمة</t>
        </is>
      </c>
      <c r="F188" s="268" t="n">
        <v>46282</v>
      </c>
      <c r="G188" s="268" t="n">
        <v>46282</v>
      </c>
      <c r="H188" s="268" t="n">
        <v>46297</v>
      </c>
      <c r="I188" s="268" t="n">
        <v>46304</v>
      </c>
      <c r="J188" s="268" t="n">
        <v>46294</v>
      </c>
      <c r="K188" s="268" t="n"/>
      <c r="L188" s="268" t="n"/>
      <c r="M188" s="268" t="inlineStr">
        <is>
          <t>قيد الإجراء</t>
        </is>
      </c>
      <c r="N188" s="268" t="n"/>
      <c r="O188" s="7" t="inlineStr">
        <is>
          <t>قيد المراجعة</t>
        </is>
      </c>
      <c r="P188" s="7" t="inlineStr">
        <is>
          <t>محلي</t>
        </is>
      </c>
      <c r="Q188" s="14" t="inlineStr">
        <is>
          <t>اللجنة العليا للتشريعات في إمارة دبي</t>
        </is>
      </c>
      <c r="R188" s="14" t="n"/>
      <c r="S188" s="14" t="n"/>
      <c r="T188" s="14" t="n">
        <v>2026</v>
      </c>
      <c r="U188" s="14">
        <f>IF(
K188&lt;&gt;"",
"",
IF(
IF(I188&lt;&gt;"",I188,H188)="",
"",
IF(
ValidationDate&gt;IF(I188&lt;&gt;"",I188,H188),
"متأخر",
""
)
)
)</f>
        <v/>
      </c>
      <c r="V188" s="14">
        <f>IF(
OR(
M188&lt;&gt;"في الموعد",
NOT(ISNUMBER(K188)),
NOT(ISNUMBER(H188))
),
"",
IF(
INT(K188)&gt;INT(H188),
"متأخر",
""
)
)</f>
        <v/>
      </c>
      <c r="W188" s="14">
        <f>IF(COUNT(F188:K188)=0,"",TEXT(IF(K188&lt;&gt;"",K188,IF(I188&lt;&gt;"",I188,IF(J188&lt;&gt;"",J188,IF(H188&lt;&gt;"",H188,IF(G188&lt;&gt;"",G188,F188))))),"[$-en-US]mmm"))</f>
        <v/>
      </c>
    </row>
    <row r="189">
      <c r="A189" s="14" t="n">
        <v>190</v>
      </c>
      <c r="B189" s="14" t="n">
        <v>1434</v>
      </c>
      <c r="C189" t="inlineStr">
        <is>
          <t>تشريع توضيحي 188</t>
        </is>
      </c>
      <c r="D189" s="14" t="inlineStr">
        <is>
          <t>الحوكمة</t>
        </is>
      </c>
      <c r="E189" s="14" t="inlineStr">
        <is>
          <t>الحوكمة</t>
        </is>
      </c>
      <c r="F189" s="268" t="n">
        <v>46294</v>
      </c>
      <c r="G189" s="268" t="n">
        <v>46294</v>
      </c>
      <c r="H189" s="268" t="n">
        <v>46311</v>
      </c>
      <c r="I189" s="268" t="n"/>
      <c r="J189" s="268" t="n">
        <v>46308</v>
      </c>
      <c r="K189" s="268" t="n"/>
      <c r="L189" s="268" t="n"/>
      <c r="M189" s="268" t="inlineStr">
        <is>
          <t>قيد الإجراء</t>
        </is>
      </c>
      <c r="N189" s="268" t="n"/>
      <c r="O189" s="7" t="inlineStr">
        <is>
          <t>قيد المراجعة</t>
        </is>
      </c>
      <c r="P189" s="7" t="inlineStr">
        <is>
          <t>محلي</t>
        </is>
      </c>
      <c r="Q189" s="14" t="inlineStr">
        <is>
          <t>مؤسسة الموانئ والجمارك والمنطقة الحرة</t>
        </is>
      </c>
      <c r="R189" s="14" t="n"/>
      <c r="S189" s="14" t="n"/>
      <c r="T189" s="14" t="n">
        <v>2026</v>
      </c>
      <c r="U189" s="14">
        <f>IF(
K189&lt;&gt;"",
"",
IF(
IF(I189&lt;&gt;"",I189,H189)="",
"",
IF(
ValidationDate&gt;IF(I189&lt;&gt;"",I189,H189),
"متأخر",
""
)
)
)</f>
        <v/>
      </c>
      <c r="V189" s="14">
        <f>IF(
OR(
M189&lt;&gt;"في الموعد",
NOT(ISNUMBER(K189)),
NOT(ISNUMBER(H189))
),
"",
IF(
INT(K189)&gt;INT(H189),
"متأخر",
""
)
)</f>
        <v/>
      </c>
      <c r="W189" s="14">
        <f>IF(COUNT(F189:K189)=0,"",TEXT(IF(K189&lt;&gt;"",K189,IF(I189&lt;&gt;"",I189,IF(J189&lt;&gt;"",J189,IF(H189&lt;&gt;"",H189,IF(G189&lt;&gt;"",G189,F189))))),"[$-en-US]mmm"))</f>
        <v/>
      </c>
    </row>
    <row r="190">
      <c r="A190" s="14" t="n">
        <v>199</v>
      </c>
      <c r="B190" s="14" t="n">
        <v>1286</v>
      </c>
      <c r="C190" t="inlineStr">
        <is>
          <t>تشريع توضيحي 189</t>
        </is>
      </c>
      <c r="D190" s="14" t="inlineStr">
        <is>
          <t>الحوكمة</t>
        </is>
      </c>
      <c r="E190" s="14" t="inlineStr">
        <is>
          <t>الحوكمة</t>
        </is>
      </c>
      <c r="F190" s="268" t="n">
        <v>46260</v>
      </c>
      <c r="G190" s="268" t="n">
        <v>46260</v>
      </c>
      <c r="H190" s="268" t="n">
        <v>46290</v>
      </c>
      <c r="I190" s="268" t="n"/>
      <c r="J190" s="268" t="n">
        <v>46287</v>
      </c>
      <c r="K190" s="268" t="n">
        <v>46282</v>
      </c>
      <c r="L190" s="268" t="n">
        <v>46288</v>
      </c>
      <c r="M190" s="268" t="inlineStr">
        <is>
          <t>في الموعد</t>
        </is>
      </c>
      <c r="N190" s="268" t="n"/>
      <c r="O190" s="7" t="inlineStr">
        <is>
          <t>مغلق</t>
        </is>
      </c>
      <c r="P190" s="7" t="inlineStr">
        <is>
          <t>محلي</t>
        </is>
      </c>
      <c r="Q190" s="14" t="inlineStr">
        <is>
          <t>اللجنة العليا للتشريعات في إمارة دبي</t>
        </is>
      </c>
      <c r="R190" s="14" t="n"/>
      <c r="S190" s="14" t="n"/>
      <c r="T190" s="14" t="n">
        <v>2026</v>
      </c>
      <c r="U190" s="14">
        <f>IF(
K190&lt;&gt;"",
"",
IF(
IF(I190&lt;&gt;"",I190,H190)="",
"",
IF(
ValidationDate&gt;IF(I190&lt;&gt;"",I190,H190),
"متأخر",
""
)
)
)</f>
        <v/>
      </c>
      <c r="V190" s="14">
        <f>IF(
OR(
M190&lt;&gt;"في الموعد",
NOT(ISNUMBER(K190)),
NOT(ISNUMBER(H190))
),
"",
IF(
INT(K190)&gt;INT(H190),
"متأخر",
""
)
)</f>
        <v/>
      </c>
      <c r="W190" s="14">
        <f>IF(COUNT(F190:K190)=0,"",TEXT(IF(K190&lt;&gt;"",K190,IF(I190&lt;&gt;"",I190,IF(J190&lt;&gt;"",J190,IF(H190&lt;&gt;"",H190,IF(G190&lt;&gt;"",G190,F190))))),"[$-en-US]mmm"))</f>
        <v/>
      </c>
    </row>
    <row r="191">
      <c r="A191" s="14" t="n">
        <v>202</v>
      </c>
      <c r="B191" s="14" t="n">
        <v>1306</v>
      </c>
      <c r="C191" t="inlineStr">
        <is>
          <t>تشريع توضيحي 190</t>
        </is>
      </c>
      <c r="D191" s="14" t="inlineStr">
        <is>
          <t>الحوكمة</t>
        </is>
      </c>
      <c r="E191" s="14" t="inlineStr">
        <is>
          <t>الحوكمة</t>
        </is>
      </c>
      <c r="F191" s="268" t="n">
        <v>46266</v>
      </c>
      <c r="G191" s="268" t="n">
        <v>46266</v>
      </c>
      <c r="H191" s="268" t="n">
        <v>46290</v>
      </c>
      <c r="I191" s="268" t="n"/>
      <c r="J191" s="268" t="n">
        <v>46287</v>
      </c>
      <c r="K191" s="268" t="n">
        <v>46281</v>
      </c>
      <c r="L191" s="268" t="n">
        <v>46282</v>
      </c>
      <c r="M191" s="268" t="inlineStr">
        <is>
          <t>في الموعد</t>
        </is>
      </c>
      <c r="N191" s="268" t="n"/>
      <c r="O191" s="7" t="inlineStr">
        <is>
          <t>مغلق</t>
        </is>
      </c>
      <c r="P191" s="7" t="inlineStr">
        <is>
          <t>محلي</t>
        </is>
      </c>
      <c r="Q191" s="14" t="inlineStr">
        <is>
          <t>اللجنة العليا للتشريعات في إمارة دبي</t>
        </is>
      </c>
      <c r="R191" s="14" t="n"/>
      <c r="S191" s="14" t="n"/>
      <c r="T191" s="14" t="n">
        <v>2026</v>
      </c>
      <c r="U191" s="14">
        <f>IF(
K191&lt;&gt;"",
"",
IF(
IF(I191&lt;&gt;"",I191,H191)="",
"",
IF(
ValidationDate&gt;IF(I191&lt;&gt;"",I191,H191),
"متأخر",
""
)
)
)</f>
        <v/>
      </c>
      <c r="V191" s="14">
        <f>IF(
OR(
M191&lt;&gt;"في الموعد",
NOT(ISNUMBER(K191)),
NOT(ISNUMBER(H191))
),
"",
IF(
INT(K191)&gt;INT(H191),
"متأخر",
""
)
)</f>
        <v/>
      </c>
      <c r="W191" s="14">
        <f>IF(COUNT(F191:K191)=0,"",TEXT(IF(K191&lt;&gt;"",K191,IF(I191&lt;&gt;"",I191,IF(J191&lt;&gt;"",J191,IF(H191&lt;&gt;"",H191,IF(G191&lt;&gt;"",G191,F191))))),"[$-en-US]mmm"))</f>
        <v/>
      </c>
    </row>
    <row r="192">
      <c r="A192" s="14" t="n">
        <v>203</v>
      </c>
      <c r="B192" s="14" t="n">
        <v>1309</v>
      </c>
      <c r="C192" t="inlineStr">
        <is>
          <t>تشريع توضيحي 191</t>
        </is>
      </c>
      <c r="D192" s="14" t="inlineStr">
        <is>
          <t>الحوكمة</t>
        </is>
      </c>
      <c r="E192" s="14" t="inlineStr">
        <is>
          <t>الحوكمة</t>
        </is>
      </c>
      <c r="F192" s="268" t="n">
        <v>46266</v>
      </c>
      <c r="G192" s="268" t="n">
        <v>46266</v>
      </c>
      <c r="H192" s="268" t="n">
        <v>46283</v>
      </c>
      <c r="I192" s="268" t="n"/>
      <c r="J192" s="268" t="n">
        <v>46280</v>
      </c>
      <c r="K192" s="268" t="n">
        <v>46279</v>
      </c>
      <c r="L192" s="268" t="n">
        <v>46280</v>
      </c>
      <c r="M192" s="268" t="inlineStr">
        <is>
          <t>في الموعد</t>
        </is>
      </c>
      <c r="N192" s="268" t="n"/>
      <c r="O192" s="7" t="inlineStr">
        <is>
          <t>مغلق</t>
        </is>
      </c>
      <c r="P192" s="7" t="inlineStr">
        <is>
          <t>محلي</t>
        </is>
      </c>
      <c r="Q192" s="14" t="inlineStr">
        <is>
          <t>اللجنة العليا للتشريعات في إمارة دبي</t>
        </is>
      </c>
      <c r="R192" s="14" t="n"/>
      <c r="S192" s="14" t="n"/>
      <c r="T192" s="14" t="n">
        <v>2026</v>
      </c>
      <c r="U192" s="14">
        <f>IF(
K192&lt;&gt;"",
"",
IF(
IF(I192&lt;&gt;"",I192,H192)="",
"",
IF(
ValidationDate&gt;IF(I192&lt;&gt;"",I192,H192),
"متأخر",
""
)
)
)</f>
        <v/>
      </c>
      <c r="V192" s="14">
        <f>IF(
OR(
M192&lt;&gt;"في الموعد",
NOT(ISNUMBER(K192)),
NOT(ISNUMBER(H192))
),
"",
IF(
INT(K192)&gt;INT(H192),
"متأخر",
""
)
)</f>
        <v/>
      </c>
      <c r="W192" s="14">
        <f>IF(COUNT(F192:K192)=0,"",TEXT(IF(K192&lt;&gt;"",K192,IF(I192&lt;&gt;"",I192,IF(J192&lt;&gt;"",J192,IF(H192&lt;&gt;"",H192,IF(G192&lt;&gt;"",G192,F192))))),"[$-en-US]mmm"))</f>
        <v/>
      </c>
    </row>
  </sheetData>
  <conditionalFormatting sqref="B1:B1048576">
    <cfRule type="duplicateValues" priority="1" dxfId="0"/>
  </conditionalFormatting>
  <conditionalFormatting sqref="C1:C1048576">
    <cfRule type="duplicateValues" priority="2" dxfId="0"/>
  </conditionalFormatting>
  <dataValidations count="2">
    <dataValidation sqref="E2:E192" showDropDown="0" showInputMessage="1" showErrorMessage="1" allowBlank="1" type="list">
      <formula1>DepartmentsList</formula1>
    </dataValidation>
    <dataValidation sqref="D2:D192" showDropDown="0" showInputMessage="1" showErrorMessage="1" allowBlank="1" type="list">
      <formula1>SectorsList</formula1>
    </dataValidation>
  </dataValidations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57"/>
  <sheetViews>
    <sheetView rightToLeft="1" zoomScaleNormal="100" workbookViewId="0">
      <pane ySplit="1" topLeftCell="A6" activePane="bottomLeft" state="frozen"/>
      <selection pane="bottomLeft" activeCell="A1" sqref="A1"/>
    </sheetView>
  </sheetViews>
  <sheetFormatPr baseColWidth="8" defaultColWidth="25.7109375" defaultRowHeight="18.75"/>
  <cols>
    <col width="35.5703125" bestFit="1" customWidth="1" style="6" min="1" max="1"/>
    <col width="27.85546875" bestFit="1" customWidth="1" style="6" min="2" max="2"/>
    <col width="19.85546875" bestFit="1" customWidth="1" style="6" min="3" max="3"/>
    <col width="79.7109375" bestFit="1" customWidth="1" style="6" min="4" max="4"/>
    <col width="12.7109375" bestFit="1" customWidth="1" style="6" min="5" max="5"/>
    <col width="51.140625" bestFit="1" customWidth="1" style="6" min="6" max="6"/>
    <col width="43.85546875" bestFit="1" customWidth="1" style="6" min="7" max="7"/>
    <col width="10.5703125" bestFit="1" customWidth="1" style="6" min="8" max="8"/>
    <col width="10.28515625" bestFit="1" customWidth="1" style="6" min="9" max="9"/>
    <col width="10" bestFit="1" customWidth="1" style="6" min="10" max="10"/>
    <col width="10.5703125" bestFit="1" customWidth="1" style="6" min="11" max="11"/>
    <col width="10.28515625" bestFit="1" customWidth="1" style="6" min="12" max="12"/>
    <col width="10" bestFit="1" customWidth="1" style="6" min="13" max="13"/>
    <col width="10.5703125" bestFit="1" customWidth="1" style="6" min="14" max="14"/>
    <col width="10.28515625" bestFit="1" customWidth="1" style="6" min="15" max="15"/>
    <col width="10" bestFit="1" customWidth="1" style="6" min="16" max="16"/>
    <col width="10.5703125" bestFit="1" customWidth="1" style="6" min="17" max="17"/>
    <col width="10.28515625" bestFit="1" customWidth="1" style="6" min="18" max="18"/>
    <col width="10" bestFit="1" customWidth="1" style="6" min="19" max="19"/>
    <col width="10.7109375" bestFit="1" customWidth="1" style="6" min="20" max="20"/>
    <col width="14.140625" bestFit="1" customWidth="1" style="6" min="21" max="21"/>
    <col width="9.5703125" bestFit="1" customWidth="1" style="6" min="22" max="22"/>
    <col width="35.140625" bestFit="1" customWidth="1" style="6" min="23" max="23"/>
    <col width="56.5703125" bestFit="1" customWidth="1" style="6" min="24" max="24"/>
    <col width="54.7109375" bestFit="1" customWidth="1" style="6" min="25" max="25"/>
    <col width="17.7109375" bestFit="1" customWidth="1" style="6" min="26" max="26"/>
    <col width="19" bestFit="1" customWidth="1" style="6" min="27" max="27"/>
    <col width="11.5703125" bestFit="1" customWidth="1" style="6" min="28" max="28"/>
    <col width="77.85546875" bestFit="1" customWidth="1" style="6" min="29" max="29"/>
    <col width="25.7109375" customWidth="1" style="6" min="30" max="16384"/>
  </cols>
  <sheetData>
    <row r="1">
      <c r="A1" s="103" t="inlineStr">
        <is>
          <t>Source.Name</t>
        </is>
      </c>
      <c r="B1" s="7" t="inlineStr">
        <is>
          <t>القطاع</t>
        </is>
      </c>
      <c r="C1" s="7" t="inlineStr">
        <is>
          <t>الإدارة</t>
        </is>
      </c>
      <c r="D1" s="7" t="inlineStr">
        <is>
          <t>المؤشر</t>
        </is>
      </c>
      <c r="E1" s="6" t="inlineStr">
        <is>
          <t>دورية القياس</t>
        </is>
      </c>
      <c r="F1" s="7" t="inlineStr">
        <is>
          <t>البسط</t>
        </is>
      </c>
      <c r="G1" s="7" t="inlineStr">
        <is>
          <t>المقام</t>
        </is>
      </c>
      <c r="H1" s="6" t="inlineStr">
        <is>
          <t>البسط Q1</t>
        </is>
      </c>
      <c r="I1" s="6" t="inlineStr">
        <is>
          <t>المقام Q1</t>
        </is>
      </c>
      <c r="J1" s="6" t="inlineStr">
        <is>
          <t>نتيجة Q1</t>
        </is>
      </c>
      <c r="K1" s="6" t="inlineStr">
        <is>
          <t>البسط Q2</t>
        </is>
      </c>
      <c r="L1" s="6" t="inlineStr">
        <is>
          <t>المقام Q2</t>
        </is>
      </c>
      <c r="M1" s="6" t="inlineStr">
        <is>
          <t>نتيجة Q2</t>
        </is>
      </c>
      <c r="N1" s="6" t="inlineStr">
        <is>
          <t>البسط Q3</t>
        </is>
      </c>
      <c r="O1" s="6" t="inlineStr">
        <is>
          <t>المقام Q3</t>
        </is>
      </c>
      <c r="P1" s="6" t="inlineStr">
        <is>
          <t>نتيجة Q3</t>
        </is>
      </c>
      <c r="Q1" s="6" t="inlineStr">
        <is>
          <t>البسط Q4</t>
        </is>
      </c>
      <c r="R1" s="6" t="inlineStr">
        <is>
          <t>المقام Q4</t>
        </is>
      </c>
      <c r="S1" s="6" t="inlineStr">
        <is>
          <t>نتيجة Q4</t>
        </is>
      </c>
      <c r="T1" s="103" t="inlineStr">
        <is>
          <t xml:space="preserve">نتيجة العام </t>
        </is>
      </c>
      <c r="U1" s="103" t="inlineStr">
        <is>
          <t>المستهدف للعام</t>
        </is>
      </c>
      <c r="V1" s="6" t="inlineStr">
        <is>
          <t>ملاحظات</t>
        </is>
      </c>
      <c r="W1" s="11" t="inlineStr">
        <is>
          <t>الهدف الاستراتيجي</t>
        </is>
      </c>
      <c r="X1" s="12" t="inlineStr">
        <is>
          <t>الأهداف التشغيلية</t>
        </is>
      </c>
      <c r="Y1" s="12" t="inlineStr">
        <is>
          <t>ملاك الهدف</t>
        </is>
      </c>
      <c r="Z1" s="12" t="inlineStr">
        <is>
          <t>الوزن النسبي للهدف</t>
        </is>
      </c>
      <c r="AA1" s="12" t="inlineStr">
        <is>
          <t>نسبة مساهمة الادارات</t>
        </is>
      </c>
      <c r="AB1" s="12" t="inlineStr">
        <is>
          <t>وزن المؤشر</t>
        </is>
      </c>
      <c r="AC1" s="12" t="inlineStr">
        <is>
          <t>المعادلة</t>
        </is>
      </c>
    </row>
    <row r="2" ht="37.5" customHeight="1">
      <c r="A2" s="103" t="inlineStr">
        <is>
          <t>Admin_Performace_Tracker.xlsx</t>
        </is>
      </c>
      <c r="B2" s="7" t="inlineStr">
        <is>
          <t>الاتصال الحكومي وشؤون الأمانة العامة</t>
        </is>
      </c>
      <c r="C2" s="7" t="inlineStr">
        <is>
          <t>المشتريات والشؤون الإدارية</t>
        </is>
      </c>
      <c r="D2" s="7" t="inlineStr">
        <is>
          <t>نسبة رضا المعنيين (الموردين) 2024 -2025</t>
        </is>
      </c>
      <c r="E2" s="6" t="inlineStr">
        <is>
          <t>سنوي</t>
        </is>
      </c>
      <c r="F2" s="8" t="inlineStr">
        <is>
          <t>عدد المعنيين الذين أعربوا عن رضاهم</t>
        </is>
      </c>
      <c r="G2" s="8" t="inlineStr">
        <is>
          <t>إجمالي عدد المعنيين المشاركين في التقييم</t>
        </is>
      </c>
      <c r="J2" s="13" t="n">
        <v>0</v>
      </c>
      <c r="K2" s="9" t="n"/>
      <c r="M2" s="13" t="n">
        <v>0</v>
      </c>
      <c r="N2" s="9" t="n">
        <v>94</v>
      </c>
      <c r="O2" s="6" t="n">
        <v>100</v>
      </c>
      <c r="P2" s="13" t="n">
        <v>0.9399999999999999</v>
      </c>
      <c r="Q2" s="9" t="n"/>
      <c r="S2" s="13" t="n">
        <v>0</v>
      </c>
      <c r="T2" s="104" t="n">
        <v>0.9399999999999999</v>
      </c>
      <c r="U2" s="104" t="n">
        <v>0.85</v>
      </c>
      <c r="W2" s="8" t="inlineStr">
        <is>
          <t>توليد فرص المشاركة والدمج لجميع الفئات</t>
        </is>
      </c>
      <c r="X2" s="6" t="inlineStr">
        <is>
          <t>تعزيز الشراكة والعلاقات مع المعنيين</t>
        </is>
      </c>
      <c r="Y2" s="6" t="inlineStr">
        <is>
          <t>قطاع التميز والخدمات 
قطاع الاتصال وشؤون الأمانة والاتصال</t>
        </is>
      </c>
      <c r="Z2" s="9" t="n">
        <v>0.05</v>
      </c>
      <c r="AA2" s="9" t="n">
        <v>0.05</v>
      </c>
      <c r="AB2" s="9" t="n">
        <v>0.05</v>
      </c>
      <c r="AC2" s="6" t="inlineStr">
        <is>
          <t xml:space="preserve"> (عدد المعنيين الذين أعربوا عن رضاهم / إجمالي عدد المعنيين المشاركين في التقييم)*100</t>
        </is>
      </c>
    </row>
    <row r="3">
      <c r="A3" s="103" t="inlineStr">
        <is>
          <t>Archive_Performance_Tracker.xlsx</t>
        </is>
      </c>
      <c r="B3" s="7" t="inlineStr">
        <is>
          <t>الاتصال الحكومي وشؤون الأمانة العامة</t>
        </is>
      </c>
      <c r="C3" s="7" t="inlineStr">
        <is>
          <t>المراسلات والأرشفة</t>
        </is>
      </c>
      <c r="D3" s="7" t="inlineStr">
        <is>
          <t>نظام الصحة والسلامة</t>
        </is>
      </c>
      <c r="E3" s="6" t="inlineStr">
        <is>
          <t>سنوي</t>
        </is>
      </c>
      <c r="F3" s="8" t="n"/>
      <c r="G3" s="8" t="n"/>
      <c r="H3" s="6" t="n">
        <v>1</v>
      </c>
      <c r="I3" s="6" t="n">
        <v>4</v>
      </c>
      <c r="J3" s="13" t="n">
        <v>0.25</v>
      </c>
      <c r="K3" s="9" t="n"/>
      <c r="M3" s="13" t="n">
        <v>0</v>
      </c>
      <c r="N3" s="9" t="n"/>
      <c r="P3" s="13" t="n">
        <v>0</v>
      </c>
      <c r="Q3" s="9" t="n"/>
      <c r="S3" s="13" t="n">
        <v>0</v>
      </c>
      <c r="T3" s="104" t="n">
        <v>0.25</v>
      </c>
      <c r="U3" s="104" t="n"/>
      <c r="W3" s="8" t="n"/>
      <c r="Z3" s="9" t="n"/>
      <c r="AA3" s="9" t="n"/>
      <c r="AB3" s="9" t="n"/>
    </row>
    <row r="4">
      <c r="A4" s="103" t="inlineStr">
        <is>
          <t>Audit_Performance_Tracker.xlsx</t>
        </is>
      </c>
      <c r="B4" s="7" t="inlineStr">
        <is>
          <t>الأمانة العامة للمجلس التنفيذي</t>
        </is>
      </c>
      <c r="C4" s="7" t="inlineStr">
        <is>
          <t>مكتب التدقيق الداخلي</t>
        </is>
      </c>
      <c r="D4" s="7" t="inlineStr">
        <is>
          <t>نسبة الالتزام بتنفيذ خطة التدقيق الداخلي​</t>
        </is>
      </c>
      <c r="E4" s="6" t="inlineStr">
        <is>
          <t>سنوي</t>
        </is>
      </c>
      <c r="F4" s="8" t="inlineStr">
        <is>
          <t>عدد مهام التدقيق المنفذة</t>
        </is>
      </c>
      <c r="G4" s="8" t="inlineStr">
        <is>
          <t xml:space="preserve">عدد مهام التدقيق المعتمدة في الخطة </t>
        </is>
      </c>
      <c r="J4" s="13" t="n">
        <v>0</v>
      </c>
      <c r="K4" s="9" t="n"/>
      <c r="M4" s="13" t="n">
        <v>0</v>
      </c>
      <c r="N4" s="9" t="n"/>
      <c r="P4" s="13" t="n">
        <v>0</v>
      </c>
      <c r="Q4" s="9" t="n"/>
      <c r="S4" s="13" t="n">
        <v>0</v>
      </c>
      <c r="T4" s="104" t="n">
        <v>0</v>
      </c>
      <c r="U4" s="104" t="n">
        <v>1</v>
      </c>
      <c r="W4" s="8" t="n"/>
      <c r="Z4" s="9" t="n"/>
      <c r="AA4" s="9" t="n"/>
      <c r="AB4" s="9" t="n"/>
    </row>
    <row r="5">
      <c r="A5" s="103" t="inlineStr">
        <is>
          <t>Audit_Performance_Tracker.xlsx</t>
        </is>
      </c>
      <c r="B5" s="7" t="inlineStr">
        <is>
          <t>الأمانة العامة للمجلس التنفيذي</t>
        </is>
      </c>
      <c r="C5" s="7" t="inlineStr">
        <is>
          <t>مكتب التدقيق الداخلي</t>
        </is>
      </c>
      <c r="D5" s="7" t="inlineStr">
        <is>
          <t>نسبة رضا الوحدات الخاضعة للتدقيق عن جودة التدقيق​</t>
        </is>
      </c>
      <c r="E5" s="6" t="inlineStr">
        <is>
          <t>سنوي</t>
        </is>
      </c>
      <c r="F5" s="8" t="inlineStr">
        <is>
          <t>اجمالي نسب الرضا خلال السنة المالية</t>
        </is>
      </c>
      <c r="G5" s="8" t="inlineStr">
        <is>
          <t>اجمالي عدد الوحدات التنظيمية التي قيمت</t>
        </is>
      </c>
      <c r="I5" s="6" t="n">
        <v>0.9</v>
      </c>
      <c r="J5" s="13" t="n">
        <v>0</v>
      </c>
      <c r="K5" s="9" t="n"/>
      <c r="M5" s="13" t="n">
        <v>0</v>
      </c>
      <c r="N5" s="9" t="n"/>
      <c r="P5" s="13" t="n">
        <v>0</v>
      </c>
      <c r="Q5" s="9" t="n"/>
      <c r="S5" s="13" t="n">
        <v>0</v>
      </c>
      <c r="T5" s="104" t="n">
        <v>0</v>
      </c>
      <c r="U5" s="104" t="n">
        <v>0.9</v>
      </c>
      <c r="W5" s="8" t="n"/>
      <c r="Z5" s="9" t="n"/>
      <c r="AA5" s="9" t="n"/>
      <c r="AB5" s="9" t="n"/>
    </row>
    <row r="6" ht="56.25" customHeight="1">
      <c r="A6" s="103" t="inlineStr">
        <is>
          <t>Audit_Performance_Tracker.xlsx</t>
        </is>
      </c>
      <c r="B6" s="7" t="inlineStr">
        <is>
          <t>الأمانة العامة للمجلس التنفيذي</t>
        </is>
      </c>
      <c r="C6" s="7" t="inlineStr">
        <is>
          <t>مكتب التدقيق الداخلي</t>
        </is>
      </c>
      <c r="D6" s="7" t="inlineStr">
        <is>
          <t>​نسبة تنفيذ خطة التدقيق الداخلي ضمن الميزانية المعتمدة للمكتب​
​</t>
        </is>
      </c>
      <c r="E6" s="6" t="inlineStr">
        <is>
          <t>ربع سنوي</t>
        </is>
      </c>
      <c r="F6" s="8" t="inlineStr">
        <is>
          <t>اجمالي المصروفات الفعلية - الميزانية المعتمدة</t>
        </is>
      </c>
      <c r="G6" s="8" t="inlineStr">
        <is>
          <t>الميزانية المعتمدة</t>
        </is>
      </c>
      <c r="J6" s="13" t="n">
        <v>0</v>
      </c>
      <c r="K6" s="9" t="n"/>
      <c r="M6" s="13" t="n">
        <v>0</v>
      </c>
      <c r="N6" s="9" t="n"/>
      <c r="P6" s="13" t="n">
        <v>0</v>
      </c>
      <c r="Q6" s="9" t="n"/>
      <c r="S6" s="13" t="n">
        <v>0</v>
      </c>
      <c r="T6" s="104" t="n">
        <v>0</v>
      </c>
      <c r="U6" s="104" t="n">
        <v>0</v>
      </c>
      <c r="W6" s="8" t="n"/>
      <c r="Z6" s="9" t="n"/>
      <c r="AA6" s="9" t="n"/>
      <c r="AB6" s="9" t="n"/>
    </row>
    <row r="7" ht="56.25" customHeight="1">
      <c r="A7" s="103" t="inlineStr">
        <is>
          <t>Audit_Performance_Tracker.xlsx</t>
        </is>
      </c>
      <c r="B7" s="7" t="inlineStr">
        <is>
          <t>الأمانة العامة للمجلس التنفيذي</t>
        </is>
      </c>
      <c r="C7" s="7" t="inlineStr">
        <is>
          <t>مكتب التدقيق الداخلي</t>
        </is>
      </c>
      <c r="D7" s="7" t="inlineStr">
        <is>
          <t>نسبة استجابة الوحدات التنظيمية لإغلاق النتائج/التوصيات​
​</t>
        </is>
      </c>
      <c r="E7" s="6" t="inlineStr">
        <is>
          <t>نصف سنوي</t>
        </is>
      </c>
      <c r="F7" s="8" t="inlineStr">
        <is>
          <t>عدد التوصيات المغلقة ضمن الاطار المحدد</t>
        </is>
      </c>
      <c r="G7" s="8" t="inlineStr">
        <is>
          <t>اجمالي التوصيات الصادرة</t>
        </is>
      </c>
      <c r="H7" s="6" t="n">
        <v>85</v>
      </c>
      <c r="J7" s="13" t="n">
        <v>0</v>
      </c>
      <c r="K7" s="9" t="n"/>
      <c r="M7" s="13" t="n">
        <v>0</v>
      </c>
      <c r="N7" s="9" t="n"/>
      <c r="P7" s="13" t="n">
        <v>0</v>
      </c>
      <c r="Q7" s="9" t="n"/>
      <c r="S7" s="13" t="n">
        <v>0</v>
      </c>
      <c r="T7" s="104" t="n">
        <v>0</v>
      </c>
      <c r="U7" s="104" t="n">
        <v>0.7</v>
      </c>
      <c r="W7" s="8" t="n"/>
      <c r="Z7" s="9" t="n"/>
      <c r="AA7" s="9" t="n"/>
      <c r="AB7" s="9" t="n"/>
    </row>
    <row r="8">
      <c r="A8" s="103" t="inlineStr">
        <is>
          <t>DP_Office_Performace_Tracker.xlsx</t>
        </is>
      </c>
      <c r="B8" s="7" t="inlineStr">
        <is>
          <t>الأمانة العامة للمجلس التنفيذي</t>
        </is>
      </c>
      <c r="C8" s="7" t="inlineStr">
        <is>
          <t>مكتب خطة دبي</t>
        </is>
      </c>
      <c r="D8" s="7" t="inlineStr">
        <is>
          <t xml:space="preserve">نسبة الالتزام بموعد تطوير واعتماد الأجندة السنوية للمجلس التنفيذي ومجلس الشؤون الاستراتيجية </t>
        </is>
      </c>
      <c r="E8" s="6" t="inlineStr">
        <is>
          <t>سنوي</t>
        </is>
      </c>
      <c r="F8" s="8" t="inlineStr">
        <is>
          <t>عدد الإدارات الملتزمة بالزمن المحدد</t>
        </is>
      </c>
      <c r="G8" s="8" t="inlineStr">
        <is>
          <t>إجمالي عدد الإدارات</t>
        </is>
      </c>
      <c r="J8" s="13" t="n">
        <v>0</v>
      </c>
      <c r="K8" s="9" t="n"/>
      <c r="M8" s="13" t="n">
        <v>0</v>
      </c>
      <c r="N8" s="9" t="n"/>
      <c r="P8" s="13" t="n">
        <v>0</v>
      </c>
      <c r="Q8" s="9" t="n"/>
      <c r="S8" s="13" t="n">
        <v>0</v>
      </c>
      <c r="T8" s="104" t="n">
        <v>0</v>
      </c>
      <c r="U8" s="104" t="n">
        <v>0.95</v>
      </c>
      <c r="W8" s="8" t="inlineStr">
        <is>
          <t>تعزيز مكانة الأمانة ككيان محوري في مركز الحكومة</t>
        </is>
      </c>
      <c r="X8" s="6" t="inlineStr">
        <is>
          <t>ضمان توفر الأجندة السنوية للمجلس التنفيذي ومجلس الشؤون الاستراتيجية</t>
        </is>
      </c>
      <c r="Y8" s="6" t="inlineStr">
        <is>
          <t>قطاع التنمية المستدامة، قطاع التنمية الاقتصادية والاجتماعية، قطاع الحوكمة</t>
        </is>
      </c>
      <c r="Z8" s="9" t="n">
        <v>0.1</v>
      </c>
      <c r="AA8" s="9" t="n">
        <v>0.01</v>
      </c>
      <c r="AB8" s="9" t="n">
        <v>0.05</v>
      </c>
      <c r="AC8" s="6" t="inlineStr">
        <is>
          <t>(عدد الإدارات الملتزمة بالزمن المحدد / إجمالي عدد الإدارات)*100</t>
        </is>
      </c>
    </row>
    <row r="9">
      <c r="A9" s="103" t="inlineStr">
        <is>
          <t>DP_Office_Performace_Tracker.xlsx</t>
        </is>
      </c>
      <c r="B9" s="7" t="inlineStr">
        <is>
          <t>الأمانة العامة للمجلس التنفيذي</t>
        </is>
      </c>
      <c r="C9" s="7" t="inlineStr">
        <is>
          <t>مكتب خطة دبي</t>
        </is>
      </c>
      <c r="D9" s="7" t="inlineStr">
        <is>
          <t>نسبة الالتزام بموعد تقديم تقرير نتائج تنفيذ خطة دبي للمجلس التنفيذي ومجلس الشؤون الاستراتيجية</t>
        </is>
      </c>
      <c r="E9" s="6" t="inlineStr">
        <is>
          <t>سنوي</t>
        </is>
      </c>
      <c r="F9" s="8" t="inlineStr">
        <is>
          <t>عدد الإدارات الملتزمة بالزمن المحدد</t>
        </is>
      </c>
      <c r="G9" s="8" t="inlineStr">
        <is>
          <t>إجمالي عدد الإدارات</t>
        </is>
      </c>
      <c r="J9" s="13" t="n">
        <v>0</v>
      </c>
      <c r="K9" s="9" t="n"/>
      <c r="M9" s="13" t="n">
        <v>0</v>
      </c>
      <c r="N9" s="9" t="n"/>
      <c r="P9" s="13" t="n">
        <v>0</v>
      </c>
      <c r="Q9" s="9" t="n"/>
      <c r="S9" s="13" t="n">
        <v>0</v>
      </c>
      <c r="T9" s="104" t="n">
        <v>0</v>
      </c>
      <c r="U9" s="104" t="n">
        <v>0.95</v>
      </c>
      <c r="W9" s="8" t="inlineStr">
        <is>
          <t>تعزيز مكانة الأمانة ككيان محوري في مركز الحكومة</t>
        </is>
      </c>
      <c r="X9" s="6" t="inlineStr">
        <is>
          <t>الارتقاء بالنتائج لتحقيق الميزة الريادية لدبي</t>
        </is>
      </c>
      <c r="Y9" s="6" t="inlineStr">
        <is>
          <t>قطاع التنمية المستدامة، قطاع التنمية الاقتصادية والاجتماعية، قطاع الحوكمة</t>
        </is>
      </c>
      <c r="Z9" s="9" t="n">
        <v>0.1</v>
      </c>
      <c r="AA9" s="9" t="n">
        <v>0.01</v>
      </c>
      <c r="AB9" s="9" t="n">
        <v>0.05</v>
      </c>
      <c r="AC9" s="6" t="inlineStr">
        <is>
          <t>(عدد الإدارات الملتزمة بالزمن المحدد / إجمالي عدد الإدارات)*100</t>
        </is>
      </c>
    </row>
    <row r="10" ht="37.5" customHeight="1">
      <c r="A10" s="103" t="inlineStr">
        <is>
          <t>DP_Office_Performace_Tracker.xlsx</t>
        </is>
      </c>
      <c r="B10" s="7" t="inlineStr">
        <is>
          <t>الأمانة العامة للمجلس التنفيذي</t>
        </is>
      </c>
      <c r="C10" s="7" t="inlineStr">
        <is>
          <t>مكتب خطة دبي</t>
        </is>
      </c>
      <c r="D10" s="7" t="inlineStr">
        <is>
          <t>نسبة الالتزام بموعد تقديم تقرير نتائج تنفيذ خطة دبي للمجلس التنفيذي ومجلس الشؤون الاستراتيجية - السياسات والإستراتيجيات الاقتصادية</t>
        </is>
      </c>
      <c r="E10" s="6" t="inlineStr">
        <is>
          <t>سنوي</t>
        </is>
      </c>
      <c r="F10" s="8" t="inlineStr">
        <is>
          <t>عدد الإدارات الملتزمة بالزمن المحدد</t>
        </is>
      </c>
      <c r="G10" s="8" t="inlineStr">
        <is>
          <t>إجمالي عدد الإدارات</t>
        </is>
      </c>
      <c r="J10" s="13" t="n">
        <v>0</v>
      </c>
      <c r="K10" s="9" t="n"/>
      <c r="M10" s="13" t="n">
        <v>0</v>
      </c>
      <c r="N10" s="9" t="n"/>
      <c r="P10" s="13" t="n">
        <v>0</v>
      </c>
      <c r="Q10" s="9" t="n"/>
      <c r="S10" s="13" t="n">
        <v>0</v>
      </c>
      <c r="T10" s="104" t="n">
        <v>0</v>
      </c>
      <c r="U10" s="104" t="n">
        <v>0.95</v>
      </c>
      <c r="W10" s="8" t="inlineStr">
        <is>
          <t>تعزيز مكانة الأمانة ككيان محوري في مركز الحكومة</t>
        </is>
      </c>
      <c r="X10" s="6" t="inlineStr">
        <is>
          <t>الارتقاء بالنتائج لتحقيق الميزة الريادية لدبي</t>
        </is>
      </c>
      <c r="Y10" s="6" t="inlineStr">
        <is>
          <t>قطاع التنمية المستدامة، قطاع التنمية الاقتصادية والاجتماعية، قطاع الحوكمة</t>
        </is>
      </c>
      <c r="Z10" s="9" t="n">
        <v>0.1</v>
      </c>
      <c r="AA10" s="9" t="n">
        <v>0.01</v>
      </c>
      <c r="AB10" s="9" t="n">
        <v>0.05</v>
      </c>
      <c r="AC10" s="6" t="inlineStr">
        <is>
          <t>(عدد الإدارات الملتزمة بالزمن المحدد / إجمالي عدد الإدارات)*100</t>
        </is>
      </c>
    </row>
    <row r="11">
      <c r="A11" s="103" t="inlineStr">
        <is>
          <t>DP_Office_Performace_Tracker.xlsx</t>
        </is>
      </c>
      <c r="B11" s="7" t="inlineStr">
        <is>
          <t>الأمانة العامة للمجلس التنفيذي</t>
        </is>
      </c>
      <c r="C11" s="7" t="inlineStr">
        <is>
          <t>مكتب خطة دبي</t>
        </is>
      </c>
      <c r="D11" s="7" t="inlineStr">
        <is>
          <t>نسبة الالتزام بموعد تقديم تقرير نتائج تنفيذ خطة دبي للمجلس التنفيذي ومجلس الشؤون الاستراتيجية - الحوكمة</t>
        </is>
      </c>
      <c r="E11" s="6" t="inlineStr">
        <is>
          <t>سنوي</t>
        </is>
      </c>
      <c r="F11" s="8" t="inlineStr">
        <is>
          <t>عدد الإدارات الملتزمة بالزمن المحدد</t>
        </is>
      </c>
      <c r="G11" s="8" t="inlineStr">
        <is>
          <t>إجمالي عدد الإدارات</t>
        </is>
      </c>
      <c r="H11" s="6" t="n">
        <v>0</v>
      </c>
      <c r="I11" s="6" t="n">
        <v>0</v>
      </c>
      <c r="J11" s="13" t="n">
        <v>0</v>
      </c>
      <c r="K11" s="9" t="n">
        <v>1</v>
      </c>
      <c r="L11" s="6" t="n">
        <v>1</v>
      </c>
      <c r="M11" s="13" t="n">
        <v>1</v>
      </c>
      <c r="N11" s="9" t="n"/>
      <c r="P11" s="13" t="n">
        <v>0</v>
      </c>
      <c r="Q11" s="9" t="n"/>
      <c r="S11" s="13" t="n">
        <v>0</v>
      </c>
      <c r="T11" s="104" t="n">
        <v>1</v>
      </c>
      <c r="U11" s="104" t="n">
        <v>0.95</v>
      </c>
      <c r="W11" s="8" t="inlineStr">
        <is>
          <t>تعزيز مكانة الأمانة ككيان محوري في مركز الحكومة</t>
        </is>
      </c>
      <c r="X11" s="6" t="inlineStr">
        <is>
          <t>الارتقاء بالنتائج لتحقيق الميزة الريادية لدبي</t>
        </is>
      </c>
      <c r="Y11" s="6" t="inlineStr">
        <is>
          <t>قطاع التنمية المستدامة، قطاع التنمية الاقتصادية والاجتماعية، قطاع الحوكمة</t>
        </is>
      </c>
      <c r="Z11" s="9" t="n">
        <v>0.1</v>
      </c>
      <c r="AA11" s="9" t="n">
        <v>0.01</v>
      </c>
      <c r="AB11" s="9" t="n">
        <v>0.05</v>
      </c>
      <c r="AC11" s="6" t="inlineStr">
        <is>
          <t>(عدد الإدارات الملتزمة بالزمن المحدد / إجمالي عدد الإدارات)*100</t>
        </is>
      </c>
    </row>
    <row r="12" ht="37.5" customHeight="1">
      <c r="A12" s="103" t="inlineStr">
        <is>
          <t>DP_Office_Performace_Tracker.xlsx</t>
        </is>
      </c>
      <c r="B12" s="7" t="inlineStr">
        <is>
          <t>الأمانة العامة للمجلس التنفيذي</t>
        </is>
      </c>
      <c r="C12" s="7" t="inlineStr">
        <is>
          <t>مكتب خطة دبي</t>
        </is>
      </c>
      <c r="D12" s="7" t="inlineStr">
        <is>
          <t>نسبة الالتزام بموعد تقديم تقرير نتائج تنفيذ خطة دبي للمجلس التنفيذي ومجلس الشؤون الاستراتيجية - السياسات والاستراتيجيات الاجتماعية</t>
        </is>
      </c>
      <c r="E12" s="6" t="inlineStr">
        <is>
          <t>سنوي</t>
        </is>
      </c>
      <c r="F12" s="8" t="inlineStr">
        <is>
          <t>عدد الإدارات الملتزمة بالزمن المحدد</t>
        </is>
      </c>
      <c r="G12" s="8" t="inlineStr">
        <is>
          <t>إجمالي عدد الإدارات</t>
        </is>
      </c>
      <c r="J12" s="13" t="n">
        <v>0</v>
      </c>
      <c r="K12" s="9" t="n"/>
      <c r="M12" s="13" t="n">
        <v>0</v>
      </c>
      <c r="N12" s="9" t="n"/>
      <c r="P12" s="13" t="n">
        <v>0</v>
      </c>
      <c r="Q12" s="9" t="n"/>
      <c r="S12" s="13" t="n">
        <v>0</v>
      </c>
      <c r="T12" s="104" t="n">
        <v>0</v>
      </c>
      <c r="U12" s="104" t="n">
        <v>0.95</v>
      </c>
      <c r="W12" s="8" t="inlineStr">
        <is>
          <t>تعزيز مكانة الأمانة ككيان محوري في مركز الحكومة</t>
        </is>
      </c>
      <c r="X12" s="6" t="inlineStr">
        <is>
          <t>الارتقاء بالنتائج لتحقيق الميزة الريادية لدبي</t>
        </is>
      </c>
      <c r="Y12" s="6" t="inlineStr">
        <is>
          <t>قطاع التنمية المستدامة، قطاع التنمية الاقتصادية والاجتماعية، قطاع الحوكمة</t>
        </is>
      </c>
      <c r="Z12" s="9" t="n">
        <v>0.1</v>
      </c>
      <c r="AA12" s="9" t="n">
        <v>0.01</v>
      </c>
      <c r="AB12" s="9" t="n">
        <v>0.05</v>
      </c>
      <c r="AC12" s="6" t="inlineStr">
        <is>
          <t>(عدد الإدارات الملتزمة بالزمن المحدد / إجمالي عدد الإدارات)*100</t>
        </is>
      </c>
    </row>
    <row r="13" ht="37.5" customHeight="1">
      <c r="A13" s="103" t="inlineStr">
        <is>
          <t>DP_Office_Performace_Tracker.xlsx</t>
        </is>
      </c>
      <c r="B13" s="7" t="inlineStr">
        <is>
          <t>الأمانة العامة للمجلس التنفيذي</t>
        </is>
      </c>
      <c r="C13" s="7" t="inlineStr">
        <is>
          <t>مكتب خطة دبي</t>
        </is>
      </c>
      <c r="D13" s="7" t="inlineStr">
        <is>
          <t>نسبة الالتزام بموعد تقديم تقرير نتائج تنفيذ خطة دبي للمجلس التنفيذي ومجلس الشؤون الاستراتيجية - التنمية المستدامة</t>
        </is>
      </c>
      <c r="E13" s="6" t="inlineStr">
        <is>
          <t>سنوي</t>
        </is>
      </c>
      <c r="F13" s="8" t="inlineStr">
        <is>
          <t>عدد الإدارات الملتزمة بالزمن المحدد</t>
        </is>
      </c>
      <c r="G13" s="8" t="inlineStr">
        <is>
          <t>إجمالي عدد الإدارات</t>
        </is>
      </c>
      <c r="H13" s="6" t="n">
        <v>2</v>
      </c>
      <c r="I13" s="6" t="n">
        <v>2</v>
      </c>
      <c r="J13" s="13" t="n">
        <v>1</v>
      </c>
      <c r="K13" s="9" t="n">
        <v>2</v>
      </c>
      <c r="L13" s="6" t="n">
        <v>2</v>
      </c>
      <c r="M13" s="13" t="n">
        <v>1</v>
      </c>
      <c r="N13" s="9" t="n">
        <v>0</v>
      </c>
      <c r="P13" s="13" t="n">
        <v>0</v>
      </c>
      <c r="Q13" s="9" t="n">
        <v>0</v>
      </c>
      <c r="R13" s="6" t="n">
        <v>1</v>
      </c>
      <c r="S13" s="13" t="n">
        <v>0</v>
      </c>
      <c r="T13" s="104" t="n">
        <v>0.8</v>
      </c>
      <c r="U13" s="104" t="n">
        <v>0.95</v>
      </c>
      <c r="W13" s="8" t="inlineStr">
        <is>
          <t>تعزيز مكانة الأمانة ككيان محوري في مركز الحكومة</t>
        </is>
      </c>
      <c r="X13" s="6" t="inlineStr">
        <is>
          <t>الارتقاء بالنتائج لتحقيق الميزة الريادية لدبي</t>
        </is>
      </c>
      <c r="Y13" s="6" t="inlineStr">
        <is>
          <t>قطاع التنمية المستدامة، قطاع التنمية الاقتصادية والاجتماعية، قطاع الحوكمة</t>
        </is>
      </c>
      <c r="Z13" s="9" t="n">
        <v>0.1</v>
      </c>
      <c r="AA13" s="9" t="n">
        <v>0.01</v>
      </c>
      <c r="AB13" s="9" t="n">
        <v>0.05</v>
      </c>
      <c r="AC13" s="6" t="inlineStr">
        <is>
          <t>(عدد الإدارات الملتزمة بالزمن المحدد / إجمالي عدد الإدارات)*100</t>
        </is>
      </c>
    </row>
    <row r="14">
      <c r="A14" s="103" t="inlineStr">
        <is>
          <t>Excellence_Performace_Tracker.xlsx</t>
        </is>
      </c>
      <c r="B14" s="7" t="inlineStr">
        <is>
          <t>التميز والخدمات الحكومية</t>
        </is>
      </c>
      <c r="C14" s="7" t="n"/>
      <c r="D14" s="7" t="inlineStr">
        <is>
          <t xml:space="preserve"> نسبة رضا المعنيين عن إدارة أنشطة القطاع</t>
        </is>
      </c>
      <c r="E14" s="6" t="inlineStr">
        <is>
          <t>سنوي</t>
        </is>
      </c>
      <c r="F14" s="8" t="inlineStr">
        <is>
          <t>عدد المعنيين الذين أعربوا عن رضاهم</t>
        </is>
      </c>
      <c r="G14" s="8" t="inlineStr">
        <is>
          <t>إجمالي عدد المعنيين المشاركين في الاستبيان</t>
        </is>
      </c>
      <c r="J14" s="13" t="n">
        <v>0</v>
      </c>
      <c r="K14" s="9" t="n"/>
      <c r="M14" s="13" t="n">
        <v>0</v>
      </c>
      <c r="N14" s="9" t="n"/>
      <c r="P14" s="13" t="n">
        <v>0</v>
      </c>
      <c r="Q14" s="9" t="n"/>
      <c r="S14" s="13" t="n">
        <v>0</v>
      </c>
      <c r="T14" s="104" t="n">
        <v>0</v>
      </c>
      <c r="U14" s="104" t="n">
        <v>0.85</v>
      </c>
      <c r="W14" s="8" t="inlineStr">
        <is>
          <t>تحقيق التميز والريادة في الأداء والخدمات</t>
        </is>
      </c>
      <c r="X14" s="6" t="inlineStr">
        <is>
          <t>تقييم وتقرير مستوى التميز في الأداء والخدمات</t>
        </is>
      </c>
      <c r="Y14" s="6" t="inlineStr">
        <is>
          <t xml:space="preserve">قطاع التميز والخدمات الحكومية، قطاع الاتصال وشؤون الأمانة العامة </t>
        </is>
      </c>
      <c r="Z14" s="9" t="n">
        <v>0.05</v>
      </c>
      <c r="AA14" s="9" t="n">
        <v>0.025</v>
      </c>
      <c r="AB14" s="9" t="n">
        <v>0.02</v>
      </c>
      <c r="AC14" s="6" t="inlineStr">
        <is>
          <t>(عدد المعنيين الذين أعربوا عن رضاهم/إجمالي عدد المعنيين المشاركين في الاستبيان)*100</t>
        </is>
      </c>
    </row>
    <row r="15">
      <c r="A15" s="103" t="inlineStr">
        <is>
          <t>Excellence_Performace_Tracker.xlsx</t>
        </is>
      </c>
      <c r="B15" s="7" t="inlineStr">
        <is>
          <t>التميز والخدمات الحكومية</t>
        </is>
      </c>
      <c r="C15" s="7" t="n"/>
      <c r="D15" s="7" t="inlineStr">
        <is>
          <t>منظور المعنيين عن الأثر المحقق من جميع فعاليات ومبادرات لقطاع</t>
        </is>
      </c>
      <c r="E15" s="6" t="inlineStr">
        <is>
          <t>سنوي</t>
        </is>
      </c>
      <c r="F15" s="8" t="inlineStr">
        <is>
          <t>عدد المعنيين الذين أعربوا عن رضاهم عن الاثر</t>
        </is>
      </c>
      <c r="G15" s="8" t="inlineStr">
        <is>
          <t>إجمالي عدد المعنيين المشاركين في الاستبيان</t>
        </is>
      </c>
      <c r="J15" s="13" t="n">
        <v>0</v>
      </c>
      <c r="K15" s="9" t="n"/>
      <c r="M15" s="13" t="n">
        <v>0</v>
      </c>
      <c r="N15" s="9" t="n"/>
      <c r="P15" s="13" t="n">
        <v>0</v>
      </c>
      <c r="Q15" s="9" t="n"/>
      <c r="S15" s="13" t="n">
        <v>0</v>
      </c>
      <c r="T15" s="104" t="n">
        <v>0</v>
      </c>
      <c r="U15" s="104" t="n">
        <v>0.85</v>
      </c>
      <c r="W15" s="8" t="inlineStr">
        <is>
          <t>تحقيق التميز والريادة في الأداء والخدمات</t>
        </is>
      </c>
      <c r="X15" s="6" t="inlineStr">
        <is>
          <t>تقييم وتقرير مستوى التميز في الأداء والخدمات</t>
        </is>
      </c>
      <c r="Y15" s="6" t="inlineStr">
        <is>
          <t>قطاع التميز والخدمات الحكومية</t>
        </is>
      </c>
      <c r="Z15" s="9" t="n">
        <v>0.05</v>
      </c>
      <c r="AA15" s="9" t="n">
        <v>0.05</v>
      </c>
      <c r="AB15" s="9" t="n">
        <v>0.02</v>
      </c>
      <c r="AC15" s="6" t="inlineStr">
        <is>
          <t>(عدد المعنيين الذين أعربوا عن رضاهم عن الأثر/إجمالي عدد المعنيين المشاركين في الاستبيان)*100</t>
        </is>
      </c>
    </row>
    <row r="16" ht="37.5" customHeight="1">
      <c r="A16" s="103" t="inlineStr">
        <is>
          <t>Excellence_Performace_Tracker.xlsx</t>
        </is>
      </c>
      <c r="B16" s="7" t="inlineStr">
        <is>
          <t>التميز والخدمات الحكومية</t>
        </is>
      </c>
      <c r="C16" s="7" t="inlineStr">
        <is>
          <t>التقييم والدراسات</t>
        </is>
      </c>
      <c r="D16" s="7" t="inlineStr">
        <is>
          <t>نسبة الالتزام بإنجاز دورات تقييم الأداء الحكومي والخدمات الحكومية ضمن الإطار الزمني المعتمد</t>
        </is>
      </c>
      <c r="E16" s="6" t="inlineStr">
        <is>
          <t>سنوي</t>
        </is>
      </c>
      <c r="F16" s="8" t="inlineStr">
        <is>
          <t>عدد الإجراءات الرئيسية المنجزة ضمن الإطار الزمني المعتمد</t>
        </is>
      </c>
      <c r="G16" s="8" t="inlineStr">
        <is>
          <t xml:space="preserve">عدد الإجراءات الرئيسية المطلوب تنفيذها في نفس الإطار الزمني </t>
        </is>
      </c>
      <c r="J16" s="13" t="n">
        <v>0</v>
      </c>
      <c r="K16" s="9" t="n">
        <v>11</v>
      </c>
      <c r="L16" s="6" t="n">
        <v>11</v>
      </c>
      <c r="M16" s="13" t="n">
        <v>1</v>
      </c>
      <c r="N16" s="9" t="n">
        <v>16</v>
      </c>
      <c r="O16" s="6" t="n">
        <v>17</v>
      </c>
      <c r="P16" s="13" t="n">
        <v>0.9411764705882352</v>
      </c>
      <c r="Q16" s="9" t="n"/>
      <c r="S16" s="13" t="n">
        <v>0</v>
      </c>
      <c r="T16" s="104" t="n">
        <v>0.9642857142857144</v>
      </c>
      <c r="U16" s="104" t="n">
        <v>0.9</v>
      </c>
      <c r="W16" s="8" t="inlineStr">
        <is>
          <t>تحقيق التميز والريادة في الأداء والخدمات</t>
        </is>
      </c>
      <c r="X16" s="6" t="inlineStr">
        <is>
          <t>تقييم وتقرير مستوى التميز في الأداء والخدمات</t>
        </is>
      </c>
      <c r="Y16" s="6" t="inlineStr">
        <is>
          <t>قطاع التميز والخدمات الحكومية</t>
        </is>
      </c>
      <c r="Z16" s="9" t="n">
        <v>0.05</v>
      </c>
      <c r="AA16" s="9" t="n">
        <v>0.05</v>
      </c>
      <c r="AB16" s="9" t="n">
        <v>0.04</v>
      </c>
      <c r="AC16" s="6" t="inlineStr">
        <is>
          <t>(عدد الإجراءات الرئيسية المنجزة ضمن الإطار الزمني المعتمد/عدد الإجراءات الرئيسية المطلوب تنفيذها في نفس الإطار الزمني)*100</t>
        </is>
      </c>
    </row>
    <row r="17" ht="37.5" customHeight="1">
      <c r="A17" s="103" t="inlineStr">
        <is>
          <t>Excellence_Performace_Tracker.xlsx</t>
        </is>
      </c>
      <c r="B17" s="7" t="inlineStr">
        <is>
          <t>التميز والخدمات الحكومية</t>
        </is>
      </c>
      <c r="C17" s="7" t="inlineStr">
        <is>
          <t>التقييم والدراسات</t>
        </is>
      </c>
      <c r="D17" s="7" t="inlineStr">
        <is>
          <t>نسبة الالتزام بإنجاز الدراسات والمسوحات للتميز والابتكار والمستقبل والخدمات ضمن الإطار الزمني المعتمد</t>
        </is>
      </c>
      <c r="E17" s="6" t="inlineStr">
        <is>
          <t>سنوي</t>
        </is>
      </c>
      <c r="F17" s="8" t="inlineStr">
        <is>
          <t>عدد الإجراءات الرئيسية المنجزة ضمن الإطار الزمني المعتمد</t>
        </is>
      </c>
      <c r="G17" s="8" t="inlineStr">
        <is>
          <t xml:space="preserve">عدد الإجراءات الرئيسية المطلوب تنفيذها في نفس الإطار الزمني </t>
        </is>
      </c>
      <c r="J17" s="13" t="n">
        <v>0</v>
      </c>
      <c r="K17" s="9" t="n">
        <v>10</v>
      </c>
      <c r="L17" s="6" t="n">
        <v>11</v>
      </c>
      <c r="M17" s="13" t="n">
        <v>0.9090909090909092</v>
      </c>
      <c r="N17" s="9" t="n">
        <v>3</v>
      </c>
      <c r="O17" s="6" t="n">
        <v>3</v>
      </c>
      <c r="P17" s="13" t="n">
        <v>1</v>
      </c>
      <c r="Q17" s="9" t="n"/>
      <c r="S17" s="13" t="n">
        <v>0</v>
      </c>
      <c r="T17" s="104" t="n">
        <v>0.9285714285714286</v>
      </c>
      <c r="U17" s="104" t="n">
        <v>0.9</v>
      </c>
      <c r="W17" s="8" t="inlineStr">
        <is>
          <t>تحقيق التميز والريادة في الأداء والخدمات</t>
        </is>
      </c>
      <c r="X17" s="6" t="inlineStr">
        <is>
          <t>تقييم وتقرير مستوى التميز في الأداء والخدمات</t>
        </is>
      </c>
      <c r="Y17" s="6" t="inlineStr">
        <is>
          <t>قطاع التميز والخدمات الحكومية</t>
        </is>
      </c>
      <c r="Z17" s="9" t="n">
        <v>0.05</v>
      </c>
      <c r="AA17" s="9" t="n">
        <v>0.05</v>
      </c>
      <c r="AB17" s="9" t="n">
        <v>0.04</v>
      </c>
      <c r="AC17" s="6" t="inlineStr">
        <is>
          <t>(عدد الإجراءات الرئيسية المنجزة ضمن الإطار الزمني المعتمد/عدد الإجراءات الرئيسية المطلوب تنفيذها في نفس الإطار الزمني)*100</t>
        </is>
      </c>
    </row>
    <row r="18" ht="37.5" customHeight="1">
      <c r="A18" s="103" t="inlineStr">
        <is>
          <t>Excellence_Performace_Tracker.xlsx</t>
        </is>
      </c>
      <c r="B18" s="7" t="inlineStr">
        <is>
          <t>التميز والخدمات الحكومية</t>
        </is>
      </c>
      <c r="C18" s="7" t="inlineStr">
        <is>
          <t>التميز والخدمات الحكومية</t>
        </is>
      </c>
      <c r="D18" s="7" t="inlineStr">
        <is>
          <t>نسبة تنفيذ خطة البرامج التطويرية  السنوية الموجهة لتطوير الخدمات والأداء الحكومي حسب المخطط الزمني</t>
        </is>
      </c>
      <c r="E18" s="6" t="inlineStr">
        <is>
          <t>نصف سنوي</t>
        </is>
      </c>
      <c r="F18" s="8" t="inlineStr">
        <is>
          <t>عدد الخطوات الرئيسية في مبادرات التطوير المنفذة حسب المخطط الزمني</t>
        </is>
      </c>
      <c r="G18" s="8" t="inlineStr">
        <is>
          <t>إجمالي الخطوات الرئيسية الموجهة للتطوير المخطط لها</t>
        </is>
      </c>
      <c r="J18" s="13" t="n">
        <v>0</v>
      </c>
      <c r="K18" s="9" t="n">
        <v>11</v>
      </c>
      <c r="L18" s="6" t="n">
        <v>12</v>
      </c>
      <c r="M18" s="13" t="n">
        <v>0.9166666666666665</v>
      </c>
      <c r="N18" s="9" t="n"/>
      <c r="P18" s="13" t="n">
        <v>0</v>
      </c>
      <c r="Q18" s="9" t="n"/>
      <c r="S18" s="13" t="n">
        <v>0</v>
      </c>
      <c r="T18" s="104" t="n">
        <v>0.9166666666666665</v>
      </c>
      <c r="U18" s="104" t="n">
        <v>0.9</v>
      </c>
      <c r="W18" s="8" t="inlineStr">
        <is>
          <t>تحقيق التميز والريادة في الأداء والخدمات</t>
        </is>
      </c>
      <c r="X18" s="6" t="inlineStr">
        <is>
          <t>تطوير وتمكين التميز في الأداء والخدمات الحكومية</t>
        </is>
      </c>
      <c r="Y18" s="6" t="inlineStr">
        <is>
          <t>قطاع التميز والخدمات الحكومية</t>
        </is>
      </c>
      <c r="Z18" s="9" t="n">
        <v>0.05</v>
      </c>
      <c r="AA18" s="9" t="n">
        <v>0.05</v>
      </c>
      <c r="AB18" s="9" t="n">
        <v>0.04</v>
      </c>
      <c r="AC18" s="6" t="inlineStr">
        <is>
          <t xml:space="preserve">(عدد الخطوات الرئيسية في مبادرات التطوير المنفذة حسب المخطط الزمني/إجمالي الخطوات الرئيسية الموجهة للتطوير المخطط لها)*100 </t>
        </is>
      </c>
    </row>
    <row r="19" ht="37.5" customHeight="1">
      <c r="A19" s="103" t="inlineStr">
        <is>
          <t>Excellence_Performace_Tracker.xlsx</t>
        </is>
      </c>
      <c r="B19" s="7" t="inlineStr">
        <is>
          <t>التميز والخدمات الحكومية</t>
        </is>
      </c>
      <c r="C19" s="7" t="inlineStr">
        <is>
          <t>التميز والخدمات الحكومية</t>
        </is>
      </c>
      <c r="D19" s="7" t="inlineStr">
        <is>
          <t>نسبة الالتزام بتنفيذ خطط بناء القدرات للجهات الحكومية (تدريب، ورش معرفية وأنشطة معرفية) حسب المخطط الزمني والموازنة المعتمدة</t>
        </is>
      </c>
      <c r="E19" s="6" t="inlineStr">
        <is>
          <t>نصف سنوي</t>
        </is>
      </c>
      <c r="F19" s="8" t="inlineStr">
        <is>
          <t>عدد الأنشطة المعرفية المنفذة حسب المخطط الزمني</t>
        </is>
      </c>
      <c r="G19" s="8" t="inlineStr">
        <is>
          <t xml:space="preserve">إجمالي عدد الأنشطة المعرفية المخطط لها </t>
        </is>
      </c>
      <c r="J19" s="13" t="n">
        <v>0</v>
      </c>
      <c r="K19" s="9" t="n">
        <v>4</v>
      </c>
      <c r="L19" s="6" t="n">
        <v>4</v>
      </c>
      <c r="M19" s="13" t="n">
        <v>1</v>
      </c>
      <c r="N19" s="9" t="n"/>
      <c r="P19" s="13" t="n">
        <v>0</v>
      </c>
      <c r="Q19" s="9" t="n"/>
      <c r="S19" s="13" t="n">
        <v>0</v>
      </c>
      <c r="T19" s="104" t="n">
        <v>1</v>
      </c>
      <c r="U19" s="104" t="n">
        <v>0.9</v>
      </c>
      <c r="W19" s="8" t="inlineStr">
        <is>
          <t>تحقيق التميز والريادة في الأداء والخدمات</t>
        </is>
      </c>
      <c r="X19" s="6" t="inlineStr">
        <is>
          <t>تطوير وتمكين التميز في الأداء والخدمات الحكومية</t>
        </is>
      </c>
      <c r="Y19" s="6" t="inlineStr">
        <is>
          <t>قطاع التميز والخدمات الحكومية</t>
        </is>
      </c>
      <c r="Z19" s="9" t="n">
        <v>0.05</v>
      </c>
      <c r="AA19" s="9" t="n">
        <v>0.025</v>
      </c>
      <c r="AB19" s="9" t="n">
        <v>0.04</v>
      </c>
      <c r="AC19" s="6" t="inlineStr">
        <is>
          <t>(عدد الأنشطة المعرفية المنفذة حسب المخطط الزمني/ إجمالي عدد الأنشطة المعرفية المخطط لها)*100</t>
        </is>
      </c>
    </row>
    <row r="20">
      <c r="A20" s="103" t="inlineStr">
        <is>
          <t>Finance_Performace_Tracker.xlsx</t>
        </is>
      </c>
      <c r="B20" s="7" t="inlineStr">
        <is>
          <t>الاتصال الحكومي وشؤون الأمانة العامة</t>
        </is>
      </c>
      <c r="C20" s="7" t="inlineStr">
        <is>
          <t>المالية والحسابات</t>
        </is>
      </c>
      <c r="D20" s="7" t="inlineStr">
        <is>
          <t>نسبة صرف الموازنة المعتمدة</t>
        </is>
      </c>
      <c r="E20" s="6" t="inlineStr">
        <is>
          <t>ربع سنوي</t>
        </is>
      </c>
      <c r="F20" s="8" t="inlineStr">
        <is>
          <t>إجمالي المصروفات خلال العام الواحد</t>
        </is>
      </c>
      <c r="G20" s="8" t="inlineStr">
        <is>
          <t>الموازنة المعتمدة</t>
        </is>
      </c>
      <c r="H20" s="6" t="n">
        <v>0.19</v>
      </c>
      <c r="I20" s="6" t="n">
        <v>1</v>
      </c>
      <c r="J20" s="13" t="n">
        <v>0.19</v>
      </c>
      <c r="K20" s="9" t="n">
        <v>0.39</v>
      </c>
      <c r="L20" s="6" t="n">
        <v>1</v>
      </c>
      <c r="M20" s="13" t="n">
        <v>0.39</v>
      </c>
      <c r="N20" s="9" t="n">
        <v>0.57</v>
      </c>
      <c r="O20" s="6" t="n">
        <v>1</v>
      </c>
      <c r="P20" s="13" t="n">
        <v>0.57</v>
      </c>
      <c r="Q20" s="9" t="n"/>
      <c r="S20" s="13" t="n">
        <v>0</v>
      </c>
      <c r="T20" s="104" t="n">
        <v>0.3833333333333333</v>
      </c>
      <c r="U20" s="104" t="n">
        <v>0.85</v>
      </c>
      <c r="W20" s="8" t="inlineStr">
        <is>
          <t>تعزيز التنسيق الداخلي والابتكار والمعرفة</t>
        </is>
      </c>
      <c r="X20" s="6" t="inlineStr">
        <is>
          <t>تحقيق التميز في الأداء والخدمات المؤسسية</t>
        </is>
      </c>
      <c r="Y20" s="6" t="inlineStr">
        <is>
          <t>قطاع الاتصال وشؤون الأمانة</t>
        </is>
      </c>
      <c r="Z20" s="9" t="n">
        <v>0.05</v>
      </c>
      <c r="AA20" s="9" t="n">
        <v>0.02</v>
      </c>
      <c r="AB20" s="9" t="n">
        <v>0.02</v>
      </c>
      <c r="AC20" s="6" t="inlineStr">
        <is>
          <t>(إجمالي المصروفات خلال العام الواحد / الموازنة المعتمدة)*100</t>
        </is>
      </c>
    </row>
    <row r="21">
      <c r="A21" s="103" t="inlineStr">
        <is>
          <t>GC_Performace_Tracker.xlsx</t>
        </is>
      </c>
      <c r="B21" s="7" t="inlineStr">
        <is>
          <t>الاتصال الحكومي وشؤون الأمانة العامة</t>
        </is>
      </c>
      <c r="C21" s="7" t="inlineStr">
        <is>
          <t>الاتصال الحكومي</t>
        </is>
      </c>
      <c r="D21" s="7" t="inlineStr">
        <is>
          <t>عدد الأنشطة الداخلية المنفذة لتعزيز التواصل بين الموظفين</t>
        </is>
      </c>
      <c r="E21" s="6" t="inlineStr">
        <is>
          <t>ربع سنوي</t>
        </is>
      </c>
      <c r="F21" s="8" t="inlineStr">
        <is>
          <t>عدد الفعاليات المنفذة</t>
        </is>
      </c>
      <c r="G21" s="8" t="inlineStr">
        <is>
          <t>إجمالي عدد الفعاليات المطلوبة</t>
        </is>
      </c>
      <c r="H21" s="6" t="n">
        <v>7</v>
      </c>
      <c r="I21" s="6" t="n">
        <v>5</v>
      </c>
      <c r="J21" s="13" t="n">
        <v>1</v>
      </c>
      <c r="K21" s="9" t="n">
        <v>3</v>
      </c>
      <c r="L21" s="6" t="n">
        <v>5</v>
      </c>
      <c r="M21" s="13" t="n">
        <v>0.6</v>
      </c>
      <c r="N21" s="9" t="n">
        <v>5</v>
      </c>
      <c r="O21" s="6" t="n">
        <v>5</v>
      </c>
      <c r="P21" s="13" t="n">
        <v>1</v>
      </c>
      <c r="Q21" s="9" t="n"/>
      <c r="S21" s="13" t="n">
        <v>0.04</v>
      </c>
      <c r="T21" s="104" t="n">
        <v>1</v>
      </c>
      <c r="U21" s="104" t="n">
        <v>1</v>
      </c>
      <c r="W21" s="8" t="inlineStr">
        <is>
          <t>توليد فرص المشاركة والدمج لجميع الفئات</t>
        </is>
      </c>
      <c r="X21" s="6" t="inlineStr">
        <is>
          <t>تعزيز كفاءة وفاعلية التواصل</t>
        </is>
      </c>
      <c r="Y21" s="6" t="inlineStr">
        <is>
          <t>قطاع الاتصال وشؤون الامانة</t>
        </is>
      </c>
      <c r="Z21" s="9" t="n">
        <v>0.2</v>
      </c>
      <c r="AA21" s="9" t="n">
        <v>0.5</v>
      </c>
      <c r="AB21" s="9" t="n">
        <v>0.05</v>
      </c>
      <c r="AC21" s="6" t="inlineStr">
        <is>
          <t>(عدد الفعاليات المنفذة/إجمالي عدد الفعاليات المطلوبة)*100</t>
        </is>
      </c>
    </row>
    <row r="22">
      <c r="A22" s="103" t="inlineStr">
        <is>
          <t>GC_Performace_Tracker.xlsx</t>
        </is>
      </c>
      <c r="B22" s="7" t="inlineStr">
        <is>
          <t>الاتصال الحكومي وشؤون الأمانة العامة</t>
        </is>
      </c>
      <c r="C22" s="7" t="inlineStr">
        <is>
          <t>الاتصال الحكومي</t>
        </is>
      </c>
      <c r="D22" s="7" t="inlineStr">
        <is>
          <t xml:space="preserve">معدل وصول أخبار المجلس التنفيذي عبر الوسائل الإعلامية ( Reach in M) </t>
        </is>
      </c>
      <c r="E22" s="6" t="inlineStr">
        <is>
          <t>ربع سنوي</t>
        </is>
      </c>
      <c r="F22" s="8" t="inlineStr">
        <is>
          <t xml:space="preserve">معدل وصول (reach) الأخبار </t>
        </is>
      </c>
      <c r="G22" s="8" t="inlineStr">
        <is>
          <t>إجمالي وصول (reach) الأخبار</t>
        </is>
      </c>
      <c r="H22" s="6" t="n">
        <v>223</v>
      </c>
      <c r="I22" s="6" t="n">
        <v>65</v>
      </c>
      <c r="J22" s="13" t="n">
        <v>1</v>
      </c>
      <c r="K22" s="9" t="inlineStr">
        <is>
          <t>NA</t>
        </is>
      </c>
      <c r="L22" s="6" t="inlineStr">
        <is>
          <t>NA</t>
        </is>
      </c>
      <c r="M22" s="13" t="n">
        <v>0</v>
      </c>
      <c r="N22" s="9" t="n">
        <v>904</v>
      </c>
      <c r="O22" s="6" t="n">
        <v>65</v>
      </c>
      <c r="P22" s="13" t="n">
        <v>1</v>
      </c>
      <c r="Q22" s="9" t="n"/>
      <c r="S22" s="13" t="n">
        <v>0</v>
      </c>
      <c r="T22" s="104" t="n">
        <v>1</v>
      </c>
      <c r="U22" s="104" t="n">
        <v>1</v>
      </c>
      <c r="W22" s="8" t="inlineStr">
        <is>
          <t>توليد فرص المشاركة والدمج لجميع الفئات</t>
        </is>
      </c>
      <c r="X22" s="6" t="inlineStr">
        <is>
          <t>تعزيز كفاءة وفاعلية التواصل</t>
        </is>
      </c>
      <c r="Y22" s="6" t="inlineStr">
        <is>
          <t>قطاع الاتصال وشؤون الامانة</t>
        </is>
      </c>
      <c r="Z22" s="9" t="n">
        <v>0.2</v>
      </c>
      <c r="AA22" s="9" t="n">
        <v>0.2</v>
      </c>
      <c r="AB22" s="9" t="n">
        <v>0.05</v>
      </c>
      <c r="AC22" s="6" t="inlineStr">
        <is>
          <t>معدل وصول (reach) الأخبار /  إجمالي وصول (reach) الأخبار*100</t>
        </is>
      </c>
    </row>
    <row r="23" ht="37.5" customHeight="1">
      <c r="A23" s="103" t="inlineStr">
        <is>
          <t>GC_Performace_Tracker.xlsx</t>
        </is>
      </c>
      <c r="B23" s="7" t="inlineStr">
        <is>
          <t>الاتصال الحكومي وشؤون الأمانة العامة</t>
        </is>
      </c>
      <c r="C23" s="7" t="inlineStr">
        <is>
          <t>الاتصال الحكومي</t>
        </is>
      </c>
      <c r="D23" s="7" t="inlineStr">
        <is>
          <t>معدل انطباع المتابعين لمنشورات حسابات التواصل الاجتماعي التابعة للأمانة العامة للمجلس التنفيذي (Impression)</t>
        </is>
      </c>
      <c r="E23" s="6" t="inlineStr">
        <is>
          <t>ربع سنوي</t>
        </is>
      </c>
      <c r="F23" s="8" t="inlineStr">
        <is>
          <t xml:space="preserve"> الانطباع المحقق </t>
        </is>
      </c>
      <c r="G23" s="8" t="inlineStr">
        <is>
          <t xml:space="preserve"> الانطباع المستهدف </t>
        </is>
      </c>
      <c r="H23" s="6" t="n">
        <v>431582</v>
      </c>
      <c r="I23" s="6" t="n">
        <v>450000</v>
      </c>
      <c r="J23" s="13" t="n">
        <v>0.9590711111111112</v>
      </c>
      <c r="K23" s="9" t="inlineStr">
        <is>
          <t>NA</t>
        </is>
      </c>
      <c r="L23" s="6" t="inlineStr">
        <is>
          <t>NA</t>
        </is>
      </c>
      <c r="M23" s="13" t="n">
        <v>0</v>
      </c>
      <c r="N23" s="9" t="n">
        <v>860253</v>
      </c>
      <c r="O23" s="6" t="n">
        <v>450000</v>
      </c>
      <c r="P23" s="13" t="n">
        <v>1</v>
      </c>
      <c r="Q23" s="9" t="n"/>
      <c r="S23" s="13" t="n">
        <v>0</v>
      </c>
      <c r="T23" s="104" t="n">
        <v>1</v>
      </c>
      <c r="U23" s="104" t="n">
        <v>1</v>
      </c>
      <c r="W23" s="8" t="inlineStr">
        <is>
          <t>توليد فرص المشاركة والدمج لجميع الفئات</t>
        </is>
      </c>
      <c r="X23" s="6" t="inlineStr">
        <is>
          <t>تعزيز كفاءة وفاعلية التواصل</t>
        </is>
      </c>
      <c r="Y23" s="6" t="inlineStr">
        <is>
          <t>قطاع الاتصال وشؤون الامانة</t>
        </is>
      </c>
      <c r="Z23" s="9" t="n">
        <v>0.2</v>
      </c>
      <c r="AA23" s="9" t="n">
        <v>0.3</v>
      </c>
      <c r="AB23" s="9" t="n">
        <v>0.05</v>
      </c>
      <c r="AC23" s="6" t="inlineStr">
        <is>
          <t>الانطباع المحقق/   الانطباع المستهدف *100</t>
        </is>
      </c>
    </row>
    <row r="24">
      <c r="A24" s="103" t="inlineStr">
        <is>
          <t>GC_Performace_Tracker.xlsx</t>
        </is>
      </c>
      <c r="B24" s="7" t="inlineStr">
        <is>
          <t>الاتصال الحكومي وشؤون الأمانة العامة</t>
        </is>
      </c>
      <c r="C24" s="7" t="inlineStr">
        <is>
          <t>الاتصال الحكومي</t>
        </is>
      </c>
      <c r="D24" s="7" t="inlineStr">
        <is>
          <t xml:space="preserve">عدد المواضيع التي أسهمت في توحيد الرسائل الاستراتيجية الحكومية عبر الشبكة العامة للاتصال الحكومي </t>
        </is>
      </c>
      <c r="E24" s="6" t="inlineStr">
        <is>
          <t>ربع سنوي</t>
        </is>
      </c>
      <c r="F24" s="8" t="inlineStr">
        <is>
          <t xml:space="preserve">عدد المواضيع </t>
        </is>
      </c>
      <c r="G24" s="8" t="inlineStr">
        <is>
          <t>إجمالي عدد المواضيع</t>
        </is>
      </c>
      <c r="H24" s="6" t="n">
        <v>3</v>
      </c>
      <c r="I24" s="6" t="n">
        <v>1</v>
      </c>
      <c r="J24" s="13" t="n">
        <v>1</v>
      </c>
      <c r="K24" s="9" t="n">
        <v>1</v>
      </c>
      <c r="L24" s="6" t="n">
        <v>0</v>
      </c>
      <c r="M24" s="13" t="n">
        <v>0</v>
      </c>
      <c r="N24" s="9" t="n">
        <v>1</v>
      </c>
      <c r="O24" s="6" t="n">
        <v>1</v>
      </c>
      <c r="P24" s="13" t="n">
        <v>1</v>
      </c>
      <c r="Q24" s="9" t="n">
        <v>0</v>
      </c>
      <c r="R24" s="6" t="n">
        <v>1</v>
      </c>
      <c r="S24" s="13" t="n">
        <v>0</v>
      </c>
      <c r="T24" s="104" t="n">
        <v>1</v>
      </c>
      <c r="U24" s="104" t="n">
        <v>1</v>
      </c>
      <c r="W24" s="8" t="inlineStr">
        <is>
          <t>توليد فرص المشاركة والدمج لجميع الفئات</t>
        </is>
      </c>
      <c r="X24" s="6" t="inlineStr">
        <is>
          <t>تعزيز كفاءة وفاعلية التواصل</t>
        </is>
      </c>
      <c r="Y24" s="6" t="inlineStr">
        <is>
          <t>قطاع الاتصال وشؤون الامانة</t>
        </is>
      </c>
      <c r="Z24" s="9" t="n">
        <v>0.2</v>
      </c>
      <c r="AA24" s="9" t="n">
        <v>0.3</v>
      </c>
      <c r="AB24" s="9" t="n">
        <v>0.05</v>
      </c>
      <c r="AC24" s="6" t="inlineStr">
        <is>
          <t xml:space="preserve">عدد المواضيع /  إجمالي عدد المواضيع </t>
        </is>
      </c>
    </row>
    <row r="25" ht="37.5" customHeight="1">
      <c r="A25" s="103" t="inlineStr">
        <is>
          <t>Governance_Performace_Tracker.xlsx</t>
        </is>
      </c>
      <c r="B25" s="7" t="inlineStr">
        <is>
          <t>الحوكمة</t>
        </is>
      </c>
      <c r="C25" s="7" t="inlineStr">
        <is>
          <t>التشريعات الحكومية</t>
        </is>
      </c>
      <c r="D25" s="7" t="inlineStr">
        <is>
          <t>نسبة التشريعات التي تتم مراجعتها في الأمانة العامة ضمن المدة الزمنية المحددة - إدارة التشريعات الحكومية</t>
        </is>
      </c>
      <c r="E25" s="6" t="inlineStr">
        <is>
          <t>ربع سنوي</t>
        </is>
      </c>
      <c r="F25" s="8" t="inlineStr">
        <is>
          <t>عدد التشريعات التي تتم مراجعتها في الأمانة ضمن المدة الزمنية المحددة</t>
        </is>
      </c>
      <c r="G25" s="8" t="inlineStr">
        <is>
          <t xml:space="preserve"> إجمالي عدد التشريعات المطلوب مراجعتها</t>
        </is>
      </c>
      <c r="H25" s="6" t="n">
        <v>3</v>
      </c>
      <c r="I25" s="6" t="n">
        <v>3</v>
      </c>
      <c r="J25" s="13" t="n">
        <v>1</v>
      </c>
      <c r="K25" s="9" t="n">
        <v>4</v>
      </c>
      <c r="L25" s="6" t="n">
        <v>3</v>
      </c>
      <c r="M25" s="13" t="n">
        <v>1</v>
      </c>
      <c r="N25" s="9" t="n">
        <v>0</v>
      </c>
      <c r="O25" s="6" t="n">
        <v>0</v>
      </c>
      <c r="P25" s="13" t="n">
        <v>0</v>
      </c>
      <c r="Q25" s="9" t="n"/>
      <c r="S25" s="13" t="n">
        <v>0</v>
      </c>
      <c r="T25" s="104" t="n">
        <v>1</v>
      </c>
      <c r="U25" s="104" t="n">
        <v>0.85</v>
      </c>
      <c r="W25" s="8" t="inlineStr">
        <is>
          <t>تعزيز مكانة الأمانة ككيان محوري في مركز الحكومة</t>
        </is>
      </c>
      <c r="X25" s="6" t="inlineStr">
        <is>
          <t>تعزيز التوافق لنماذج العمل والسياسات والاستراتيجيات والأطر التنظيمية للحكومة</t>
        </is>
      </c>
      <c r="Y25" s="6" t="inlineStr">
        <is>
          <t>قطاع التنمية المستدامة / قطاع التنمية الاقتصادية والاجتماعية /قطاع الحوكمة</t>
        </is>
      </c>
      <c r="Z25" s="9" t="n">
        <v>0.25</v>
      </c>
      <c r="AA25" s="9" t="n">
        <v>0.007142857142857144</v>
      </c>
      <c r="AB25" s="9" t="n">
        <v>0.05</v>
      </c>
      <c r="AC25" s="6" t="inlineStr">
        <is>
          <t>(عدد التشريعات التي تتم مراجعتها في الأمانة ضمن المدة الزمنية المحددة/ إجمالي عدد التشريعات المطلوب مراجعتها)*100</t>
        </is>
      </c>
    </row>
    <row r="26" ht="37.5" customHeight="1">
      <c r="A26" s="103" t="inlineStr">
        <is>
          <t>Governance_Performace_Tracker.xlsx</t>
        </is>
      </c>
      <c r="B26" s="7" t="inlineStr">
        <is>
          <t>الحوكمة</t>
        </is>
      </c>
      <c r="C26" s="7" t="inlineStr">
        <is>
          <t>التشريعات الحكومية</t>
        </is>
      </c>
      <c r="D26" s="7" t="inlineStr">
        <is>
          <t xml:space="preserve">نسبة التشريعات التي تتم مراجعتها في الأمانة العامة ضمن المدة الزمنية المحددة - إدارة الحوكمة </t>
        </is>
      </c>
      <c r="E26" s="6" t="inlineStr">
        <is>
          <t>ربع سنوي</t>
        </is>
      </c>
      <c r="F26" s="8" t="inlineStr">
        <is>
          <t>عدد التشريعات التي تتم مراجعتها في الأمانة ضمن المدة الزمنية المحددة</t>
        </is>
      </c>
      <c r="G26" s="8" t="inlineStr">
        <is>
          <t xml:space="preserve"> إجمالي عدد التشريعات المطلوب مراجعتها</t>
        </is>
      </c>
      <c r="H26" s="6" t="n">
        <v>6</v>
      </c>
      <c r="I26" s="6" t="n">
        <v>6</v>
      </c>
      <c r="J26" s="13" t="n">
        <v>1</v>
      </c>
      <c r="K26" s="9" t="n">
        <v>19</v>
      </c>
      <c r="L26" s="6" t="n">
        <v>19</v>
      </c>
      <c r="M26" s="13" t="n">
        <v>1</v>
      </c>
      <c r="N26" s="9" t="n">
        <v>17</v>
      </c>
      <c r="O26" s="6" t="n">
        <v>18</v>
      </c>
      <c r="P26" s="13" t="n">
        <v>0.9444444444444445</v>
      </c>
      <c r="Q26" s="9" t="n"/>
      <c r="S26" s="13" t="n">
        <v>0</v>
      </c>
      <c r="T26" s="104" t="n">
        <v>0.9767441860465115</v>
      </c>
      <c r="U26" s="104" t="n">
        <v>0.85</v>
      </c>
      <c r="W26" s="8" t="inlineStr">
        <is>
          <t>تعزيز مكانة الأمانة ككيان محوري في مركز الحكومة</t>
        </is>
      </c>
      <c r="X26" s="6" t="inlineStr">
        <is>
          <t>تعزيز التوافق لنماذج العمل والسياسات والاستراتيجيات والأطر التنظيمية للحكومة</t>
        </is>
      </c>
      <c r="Y26" s="6" t="inlineStr">
        <is>
          <t>قطاع التنمية المستدامة / قطاع التنمية الاقتصادية والاجتماعية /قطاع الحوكمة</t>
        </is>
      </c>
      <c r="Z26" s="9" t="n">
        <v>0.25</v>
      </c>
      <c r="AA26" s="9" t="n">
        <v>0.007142857142857144</v>
      </c>
      <c r="AB26" s="9" t="n">
        <v>0.05</v>
      </c>
      <c r="AC26" s="6" t="inlineStr">
        <is>
          <t>(عدد التشريعات التي تتم مراجعتها في الأمانة ضمن المدة الزمنية المحددة/ إجمالي عدد التشريعات المطلوب مراجعتها)*100</t>
        </is>
      </c>
    </row>
    <row r="27" ht="37.5" customHeight="1">
      <c r="A27" s="103" t="inlineStr">
        <is>
          <t>Governance_Performace_Tracker.xlsx</t>
        </is>
      </c>
      <c r="B27" s="7" t="inlineStr">
        <is>
          <t>الحوكمة</t>
        </is>
      </c>
      <c r="C27" s="7" t="inlineStr">
        <is>
          <t>التشريعات الحكومية</t>
        </is>
      </c>
      <c r="D27" s="7" t="inlineStr">
        <is>
          <t>نسبة التشريعات التي تتم مراجعتها في الأمانة العامة ضمن المدة الزمنية المحددة - إدارة السياسات الاستراتيجية الاقتصادية</t>
        </is>
      </c>
      <c r="E27" s="6" t="inlineStr">
        <is>
          <t>ربع سنوي</t>
        </is>
      </c>
      <c r="F27" s="8" t="inlineStr">
        <is>
          <t>عدد التشريعات التي تتم مراجعتها في الأمانة ضمن المدة الزمنية المحددة</t>
        </is>
      </c>
      <c r="G27" s="8" t="inlineStr">
        <is>
          <t xml:space="preserve"> إجمالي عدد التشريعات المطلوب مراجعتها</t>
        </is>
      </c>
      <c r="H27" s="6" t="n">
        <v>12</v>
      </c>
      <c r="I27" s="6" t="n">
        <v>12</v>
      </c>
      <c r="J27" s="13" t="n">
        <v>1</v>
      </c>
      <c r="K27" s="9" t="n">
        <v>14</v>
      </c>
      <c r="L27" s="6" t="n">
        <v>14</v>
      </c>
      <c r="M27" s="13" t="n">
        <v>1</v>
      </c>
      <c r="N27" s="9" t="n">
        <v>10</v>
      </c>
      <c r="O27" s="6" t="n">
        <v>11</v>
      </c>
      <c r="P27" s="13" t="n">
        <v>0.9090909090909092</v>
      </c>
      <c r="Q27" s="9" t="n"/>
      <c r="S27" s="13" t="n">
        <v>0</v>
      </c>
      <c r="T27" s="104" t="n">
        <v>0.9729729729729729</v>
      </c>
      <c r="U27" s="104" t="n">
        <v>0.85</v>
      </c>
      <c r="W27" s="8" t="inlineStr">
        <is>
          <t>تعزيز مكانة الأمانة ككيان محوري في مركز الحكومة</t>
        </is>
      </c>
      <c r="X27" s="6" t="inlineStr">
        <is>
          <t>تعزيز التوافق لنماذج العمل والسياسات والاستراتيجيات والأطر التنظيمية للحكومة</t>
        </is>
      </c>
      <c r="Y27" s="6" t="inlineStr">
        <is>
          <t>قطاع التنمية المستدامة / قطاع التنمية الاقتصادية والاجتماعية /قطاع الحوكمة</t>
        </is>
      </c>
      <c r="Z27" s="9" t="n">
        <v>0.25</v>
      </c>
      <c r="AA27" s="9" t="n">
        <v>0.007142857142857144</v>
      </c>
      <c r="AB27" s="9" t="n">
        <v>0.05</v>
      </c>
      <c r="AC27" s="6" t="inlineStr">
        <is>
          <t>(عدد التشريعات التي تتم مراجعتها في الأمانة ضمن المدة الزمنية المحددة/ إجمالي عدد التشريعات المطلوب مراجعتها)*100</t>
        </is>
      </c>
    </row>
    <row r="28" ht="37.5" customHeight="1">
      <c r="A28" s="103" t="inlineStr">
        <is>
          <t>Governance_Performace_Tracker.xlsx</t>
        </is>
      </c>
      <c r="B28" s="7" t="inlineStr">
        <is>
          <t>الحوكمة</t>
        </is>
      </c>
      <c r="C28" s="7" t="inlineStr">
        <is>
          <t>التشريعات الحكومية</t>
        </is>
      </c>
      <c r="D28" s="7" t="inlineStr">
        <is>
          <t>نسبة التشريعات التي تتم مراجعتها في الأمانة العامة ضمن المدة الزمنية المحددة - إدارة السياسات الاستراتيجية الاجتماعية</t>
        </is>
      </c>
      <c r="E28" s="6" t="inlineStr">
        <is>
          <t>ربع سنوي</t>
        </is>
      </c>
      <c r="F28" s="8" t="inlineStr">
        <is>
          <t>عدد التشريعات التي تتم مراجعتها في الأمانة ضمن المدة الزمنية المحددة</t>
        </is>
      </c>
      <c r="G28" s="8" t="inlineStr">
        <is>
          <t xml:space="preserve"> إجمالي عدد التشريعات المطلوب مراجعتها</t>
        </is>
      </c>
      <c r="H28" s="6" t="n">
        <v>7</v>
      </c>
      <c r="I28" s="6" t="n">
        <v>7</v>
      </c>
      <c r="J28" s="13" t="n">
        <v>1</v>
      </c>
      <c r="K28" s="9" t="n">
        <v>14</v>
      </c>
      <c r="L28" s="6" t="n">
        <v>14</v>
      </c>
      <c r="M28" s="13" t="n">
        <v>1</v>
      </c>
      <c r="N28" s="9" t="n">
        <v>11</v>
      </c>
      <c r="O28" s="6" t="n">
        <v>11</v>
      </c>
      <c r="P28" s="13" t="n">
        <v>1</v>
      </c>
      <c r="Q28" s="9" t="n"/>
      <c r="S28" s="13" t="n">
        <v>0</v>
      </c>
      <c r="T28" s="104" t="n">
        <v>1</v>
      </c>
      <c r="U28" s="104" t="n">
        <v>0.85</v>
      </c>
      <c r="W28" s="8" t="inlineStr">
        <is>
          <t>تعزيز مكانة الأمانة ككيان محوري في مركز الحكومة</t>
        </is>
      </c>
      <c r="X28" s="6" t="inlineStr">
        <is>
          <t>تعزيز التوافق لنماذج العمل والسياسات والاستراتيجيات والأطر التنظيمية للحكومة</t>
        </is>
      </c>
      <c r="Y28" s="6" t="inlineStr">
        <is>
          <t>قطاع التنمية المستدامة / قطاع التنمية الاقتصادية والاجتماعية /قطاع الحوكمة</t>
        </is>
      </c>
      <c r="Z28" s="9" t="n">
        <v>0.25</v>
      </c>
      <c r="AA28" s="9" t="n">
        <v>0.007142857142857144</v>
      </c>
      <c r="AB28" s="9" t="n">
        <v>0.05</v>
      </c>
      <c r="AC28" s="6" t="inlineStr">
        <is>
          <t>(عدد التشريعات التي تتم مراجعتها في الأمانة ضمن المدة الزمنية المحددة/ إجمالي عدد التشريعات المطلوب مراجعتها)*100</t>
        </is>
      </c>
    </row>
    <row r="29" ht="37.5" customHeight="1">
      <c r="A29" s="103" t="inlineStr">
        <is>
          <t>Governance_Performace_Tracker.xlsx</t>
        </is>
      </c>
      <c r="B29" s="7" t="inlineStr">
        <is>
          <t>الحوكمة</t>
        </is>
      </c>
      <c r="C29" s="7" t="inlineStr">
        <is>
          <t>التشريعات الحكومية</t>
        </is>
      </c>
      <c r="D29" s="7" t="inlineStr">
        <is>
          <t>نسبة التشريعات التي تتم مراجعتها في الأمانة العامة ضمن المدة الزمنية المحددة - إدارة السياسات الاستراتيجية البيئية والبنية التحتية</t>
        </is>
      </c>
      <c r="E29" s="6" t="inlineStr">
        <is>
          <t>ربع سنوي</t>
        </is>
      </c>
      <c r="F29" s="8" t="inlineStr">
        <is>
          <t>عدد التشريعات التي تتم مراجعتها في الأمانة ضمن المدة الزمنية المحددة</t>
        </is>
      </c>
      <c r="G29" s="8" t="inlineStr">
        <is>
          <t xml:space="preserve"> إجمالي عدد التشريعات المطلوب مراجعتها</t>
        </is>
      </c>
      <c r="H29" s="6" t="n">
        <v>12</v>
      </c>
      <c r="I29" s="6" t="n">
        <v>12</v>
      </c>
      <c r="J29" s="13" t="n">
        <v>1</v>
      </c>
      <c r="K29" s="9" t="n">
        <v>9</v>
      </c>
      <c r="L29" s="6" t="n">
        <v>9</v>
      </c>
      <c r="M29" s="13" t="n">
        <v>1</v>
      </c>
      <c r="N29" s="9" t="n">
        <v>14</v>
      </c>
      <c r="O29" s="6" t="n">
        <v>14</v>
      </c>
      <c r="P29" s="13" t="n">
        <v>1</v>
      </c>
      <c r="Q29" s="9" t="n"/>
      <c r="S29" s="13" t="n">
        <v>0</v>
      </c>
      <c r="T29" s="104" t="n">
        <v>1</v>
      </c>
      <c r="U29" s="104" t="n">
        <v>0.85</v>
      </c>
      <c r="W29" s="8" t="inlineStr">
        <is>
          <t>تعزيز مكانة الأمانة ككيان محوري في مركز الحكومة</t>
        </is>
      </c>
      <c r="X29" s="6" t="inlineStr">
        <is>
          <t>تعزيز التوافق لنماذج العمل والسياسات والاستراتيجيات والأطر التنظيمية للحكومة</t>
        </is>
      </c>
      <c r="Y29" s="6" t="inlineStr">
        <is>
          <t>قطاع التنمية المستدامة / قطاع التنمية الاقتصادية والاجتماعية /قطاع الحوكمة</t>
        </is>
      </c>
      <c r="Z29" s="9" t="n">
        <v>0.25</v>
      </c>
      <c r="AA29" s="9" t="n">
        <v>0.007142857142857144</v>
      </c>
      <c r="AB29" s="9" t="n">
        <v>0.05</v>
      </c>
      <c r="AC29" s="6" t="inlineStr">
        <is>
          <t>(عدد التشريعات التي تتم مراجعتها في الأمانة ضمن المدة الزمنية المحددة/ إجمالي عدد التشريعات المطلوب مراجعتها)*100</t>
        </is>
      </c>
    </row>
    <row r="30" ht="37.5" customHeight="1">
      <c r="A30" s="103" t="inlineStr">
        <is>
          <t>Governance_Performace_Tracker.xlsx</t>
        </is>
      </c>
      <c r="B30" s="7" t="inlineStr">
        <is>
          <t>الحوكمة</t>
        </is>
      </c>
      <c r="C30" s="7" t="inlineStr">
        <is>
          <t>التشريعات الحكومية</t>
        </is>
      </c>
      <c r="D30" s="7" t="inlineStr">
        <is>
          <t>نسبة التشريعات التي تتم مراجعتها في الأمانة العامة ضمن المدة الزمنية المحددة - إدارة السياسات الاستراتيجية الصحية والعدل</t>
        </is>
      </c>
      <c r="E30" s="6" t="inlineStr">
        <is>
          <t>ربع سنوي</t>
        </is>
      </c>
      <c r="F30" s="8" t="inlineStr">
        <is>
          <t>عدد التشريعات التي تتم مراجعتها في الأمانة ضمن المدة الزمنية المحددة</t>
        </is>
      </c>
      <c r="G30" s="8" t="inlineStr">
        <is>
          <t xml:space="preserve"> إجمالي عدد التشريعات المطلوب مراجعتها</t>
        </is>
      </c>
      <c r="H30" s="6" t="n">
        <v>6</v>
      </c>
      <c r="I30" s="6" t="n">
        <v>6</v>
      </c>
      <c r="J30" s="13" t="n">
        <v>1</v>
      </c>
      <c r="K30" s="9" t="n">
        <v>8</v>
      </c>
      <c r="L30" s="6" t="n">
        <v>8</v>
      </c>
      <c r="M30" s="13" t="n">
        <v>1</v>
      </c>
      <c r="N30" s="9" t="n">
        <v>7</v>
      </c>
      <c r="O30" s="6" t="n">
        <v>7</v>
      </c>
      <c r="P30" s="13" t="n">
        <v>1</v>
      </c>
      <c r="Q30" s="9" t="n"/>
      <c r="S30" s="13" t="n">
        <v>0</v>
      </c>
      <c r="T30" s="104" t="n">
        <v>1</v>
      </c>
      <c r="U30" s="104" t="n">
        <v>0.85</v>
      </c>
      <c r="W30" s="8" t="inlineStr">
        <is>
          <t>تعزيز مكانة الأمانة ككيان محوري في مركز الحكومة</t>
        </is>
      </c>
      <c r="X30" s="6" t="inlineStr">
        <is>
          <t>تعزيز التوافق لنماذج العمل والسياسات والاستراتيجيات والأطر التنظيمية للحكومة</t>
        </is>
      </c>
      <c r="Y30" s="6" t="inlineStr">
        <is>
          <t>قطاع التنمية المستدامة / قطاع التنمية الاقتصادية والاجتماعية /قطاع الحوكمة</t>
        </is>
      </c>
      <c r="Z30" s="9" t="n">
        <v>0.25</v>
      </c>
      <c r="AA30" s="9" t="n">
        <v>0.007142857142857144</v>
      </c>
      <c r="AB30" s="9" t="n">
        <v>0.05</v>
      </c>
      <c r="AC30" s="6" t="inlineStr">
        <is>
          <t>(عدد التشريعات التي تتم مراجعتها في الأمانة ضمن المدة الزمنية المحددة/ إجمالي عدد التشريعات المطلوب مراجعتها)*100</t>
        </is>
      </c>
    </row>
    <row r="31" ht="37.5" customHeight="1">
      <c r="A31" s="103" t="inlineStr">
        <is>
          <t>Governance_Performace_Tracker.xlsx</t>
        </is>
      </c>
      <c r="B31" s="7" t="inlineStr">
        <is>
          <t>الحوكمة</t>
        </is>
      </c>
      <c r="C31" s="7" t="inlineStr">
        <is>
          <t>التشريعات الحكومية</t>
        </is>
      </c>
      <c r="D31" s="7" t="inlineStr">
        <is>
          <t>نسبة التشريعات التي تتم مراجعتها في الأمانة العامة ضمن المدة الزمنية المحددة - قسم التمييز والموارد البشرية</t>
        </is>
      </c>
      <c r="E31" s="6" t="inlineStr">
        <is>
          <t>ربع سنوي</t>
        </is>
      </c>
      <c r="F31" s="8" t="inlineStr">
        <is>
          <t>عدد التشريعات التي تتم مراجعتها في الأمانة ضمن المدة الزمنية المحددة</t>
        </is>
      </c>
      <c r="G31" s="8" t="inlineStr">
        <is>
          <t xml:space="preserve"> إجمالي عدد التشريعات المطلوب مراجعتها</t>
        </is>
      </c>
      <c r="H31" s="6" t="n">
        <v>1</v>
      </c>
      <c r="I31" s="6" t="n">
        <v>1</v>
      </c>
      <c r="J31" s="13" t="n">
        <v>1</v>
      </c>
      <c r="K31" s="9" t="n">
        <v>2</v>
      </c>
      <c r="L31" s="6" t="n">
        <v>2</v>
      </c>
      <c r="M31" s="13" t="n">
        <v>1</v>
      </c>
      <c r="N31" s="9" t="n">
        <v>1</v>
      </c>
      <c r="O31" s="6" t="n">
        <v>1</v>
      </c>
      <c r="P31" s="13" t="n">
        <v>1</v>
      </c>
      <c r="Q31" s="9" t="n"/>
      <c r="S31" s="13" t="n">
        <v>0</v>
      </c>
      <c r="T31" s="104" t="n">
        <v>1</v>
      </c>
      <c r="U31" s="104" t="n">
        <v>0.85</v>
      </c>
      <c r="W31" s="8" t="inlineStr">
        <is>
          <t>تعزيز مكانة الأمانة ككيان محوري في مركز الحكومة</t>
        </is>
      </c>
      <c r="X31" s="6" t="inlineStr">
        <is>
          <t>تعزيز التوافق لنماذج العمل والسياسات والاستراتيجيات والأطر التنظيمية للحكومة</t>
        </is>
      </c>
      <c r="Y31" s="6" t="inlineStr">
        <is>
          <t>قطاع التنمية المستدامة / قطاع التنمية الاقتصادية والاجتماعية /قطاع الحوكمة</t>
        </is>
      </c>
      <c r="Z31" s="9" t="n">
        <v>0.25</v>
      </c>
      <c r="AA31" s="9" t="n">
        <v>0.007142857142857144</v>
      </c>
      <c r="AB31" s="9" t="n">
        <v>0.05</v>
      </c>
      <c r="AC31" s="6" t="inlineStr">
        <is>
          <t>(عدد التشريعات التي تتم مراجعتها في الأمانة ضمن المدة الزمنية المحددة/ إجمالي عدد التشريعات المطلوب مراجعتها)*100</t>
        </is>
      </c>
    </row>
    <row r="32" ht="37.5" customHeight="1">
      <c r="A32" s="103" t="inlineStr">
        <is>
          <t>Governance_Performace_Tracker.xlsx</t>
        </is>
      </c>
      <c r="B32" s="7" t="inlineStr">
        <is>
          <t>الحوكمة</t>
        </is>
      </c>
      <c r="C32" s="7" t="inlineStr">
        <is>
          <t>التشريعات الحكومية</t>
        </is>
      </c>
      <c r="D32" s="7" t="inlineStr">
        <is>
          <t>نسبة التشريعات التي تتم مراجعتها في الأمانة العامة ضمن المدة الزمنية المحددة - إدارة التمييز والخدمات الحكومية</t>
        </is>
      </c>
      <c r="E32" s="6" t="inlineStr">
        <is>
          <t>ربع سنوي</t>
        </is>
      </c>
      <c r="F32" s="8" t="inlineStr">
        <is>
          <t>عدد التشريعات التي تتم مراجعتها في الأمانة ضمن المدة الزمنية المحددة</t>
        </is>
      </c>
      <c r="G32" s="8" t="inlineStr">
        <is>
          <t xml:space="preserve"> إجمالي عدد التشريعات المطلوب مراجعتها</t>
        </is>
      </c>
      <c r="H32" s="6" t="n">
        <v>1</v>
      </c>
      <c r="I32" s="6" t="n">
        <v>1</v>
      </c>
      <c r="J32" s="13" t="n">
        <v>1</v>
      </c>
      <c r="K32" s="9" t="n">
        <v>0</v>
      </c>
      <c r="L32" s="6" t="n">
        <v>0</v>
      </c>
      <c r="M32" s="13" t="n">
        <v>0</v>
      </c>
      <c r="N32" s="9" t="n">
        <v>0</v>
      </c>
      <c r="O32" s="6" t="n">
        <v>0</v>
      </c>
      <c r="P32" s="13" t="n">
        <v>0</v>
      </c>
      <c r="Q32" s="9" t="n"/>
      <c r="S32" s="13" t="n">
        <v>0</v>
      </c>
      <c r="T32" s="104" t="n">
        <v>1</v>
      </c>
      <c r="U32" s="104" t="n">
        <v>0.85</v>
      </c>
      <c r="W32" s="8" t="inlineStr">
        <is>
          <t>تعزيز مكانة الأمانة ككيان محوري في مركز الحكومة</t>
        </is>
      </c>
      <c r="X32" s="6" t="inlineStr">
        <is>
          <t>تعزيز التوافق لنماذج العمل والسياسات والاستراتيجيات والأطر التنظيمية للحكومة</t>
        </is>
      </c>
      <c r="Y32" s="6" t="inlineStr">
        <is>
          <t>قطاع التنمية المستدامة / قطاع التنمية الاقتصادية والاجتماعية /قطاع الحوكمة</t>
        </is>
      </c>
      <c r="Z32" s="9" t="n">
        <v>0.25</v>
      </c>
      <c r="AA32" s="9" t="n">
        <v>0.007142857142857144</v>
      </c>
      <c r="AB32" s="9" t="n">
        <v>0.05</v>
      </c>
      <c r="AC32" s="6" t="inlineStr">
        <is>
          <t>(عدد التشريعات التي تتم مراجعتها في الأمانة ضمن المدة الزمنية المحددة/ إجمالي عدد التشريعات المطلوب مراجعتها)*100</t>
        </is>
      </c>
    </row>
    <row r="33" ht="37.5" customHeight="1">
      <c r="A33" s="103" t="inlineStr">
        <is>
          <t>Governance_Performace_Tracker.xlsx</t>
        </is>
      </c>
      <c r="B33" s="7" t="inlineStr">
        <is>
          <t>الحوكمة</t>
        </is>
      </c>
      <c r="C33" s="7" t="inlineStr">
        <is>
          <t>التشريعات الحكومية</t>
        </is>
      </c>
      <c r="D33" s="7" t="inlineStr">
        <is>
          <t>نسبة التشريعات التي تتم مراجعتها في الأمانة العامة ضمن المدة الزمنية المحددة - إدارة الخدمات المؤسسية</t>
        </is>
      </c>
      <c r="E33" s="6" t="inlineStr">
        <is>
          <t>ربع سنوي</t>
        </is>
      </c>
      <c r="F33" s="8" t="inlineStr">
        <is>
          <t>عدد التشريعات التي تتم مراجعتها في الأمانة ضمن المدة الزمنية المحددة</t>
        </is>
      </c>
      <c r="G33" s="8" t="inlineStr">
        <is>
          <t xml:space="preserve"> إجمالي عدد التشريعات المطلوب مراجعتها</t>
        </is>
      </c>
      <c r="H33" s="6" t="n">
        <v>1</v>
      </c>
      <c r="I33" s="6" t="n">
        <v>1</v>
      </c>
      <c r="J33" s="13" t="n">
        <v>1</v>
      </c>
      <c r="K33" s="9" t="n">
        <v>0</v>
      </c>
      <c r="L33" s="6" t="n">
        <v>0</v>
      </c>
      <c r="M33" s="13" t="n">
        <v>0</v>
      </c>
      <c r="N33" s="9" t="n">
        <v>0</v>
      </c>
      <c r="O33" s="6" t="n">
        <v>0</v>
      </c>
      <c r="P33" s="13" t="n">
        <v>0</v>
      </c>
      <c r="Q33" s="9" t="n"/>
      <c r="S33" s="13" t="n">
        <v>0</v>
      </c>
      <c r="T33" s="104" t="n">
        <v>1</v>
      </c>
      <c r="U33" s="104" t="n">
        <v>0.85</v>
      </c>
      <c r="W33" s="8" t="inlineStr">
        <is>
          <t>تعزيز مكانة الأمانة ككيان محوري في مركز الحكومة</t>
        </is>
      </c>
      <c r="X33" s="6" t="inlineStr">
        <is>
          <t>تعزيز التوافق لنماذج العمل والسياسات والاستراتيجيات والأطر التنظيمية للحكومة</t>
        </is>
      </c>
      <c r="Y33" s="6" t="inlineStr">
        <is>
          <t>قطاع التنمية المستدامة / قطاع التنمية الاقتصادية والاجتماعية /قطاع الحوكمة</t>
        </is>
      </c>
      <c r="Z33" s="9" t="n">
        <v>0.25</v>
      </c>
      <c r="AA33" s="9" t="n">
        <v>0.007142857142857144</v>
      </c>
      <c r="AB33" s="9" t="n">
        <v>0.05</v>
      </c>
      <c r="AC33" s="6" t="inlineStr">
        <is>
          <t>(عدد التشريعات التي تتم مراجعتها في الأمانة ضمن المدة الزمنية المحددة/ إجمالي عدد التشريعات المطلوب مراجعتها)*100</t>
        </is>
      </c>
    </row>
    <row r="34" ht="37.5" customHeight="1">
      <c r="A34" s="103" t="inlineStr">
        <is>
          <t>Governance_Performace_Tracker.xlsx</t>
        </is>
      </c>
      <c r="B34" s="7" t="inlineStr">
        <is>
          <t>الحوكمة</t>
        </is>
      </c>
      <c r="C34" s="7" t="inlineStr">
        <is>
          <t>التشريعات الحكومية</t>
        </is>
      </c>
      <c r="D34" s="7" t="inlineStr">
        <is>
          <t>نسبة التشريعات التي تتم مراجعتها في الأمانة العامة ضمن المدة الزمنية المحددة - إدارة الاتصال الحكومي</t>
        </is>
      </c>
      <c r="E34" s="6" t="inlineStr">
        <is>
          <t>ربع سنوي</t>
        </is>
      </c>
      <c r="F34" s="8" t="inlineStr">
        <is>
          <t>عدد التشريعات التي تتم مراجعتها في الأمانة ضمن المدة الزمنية المحددة</t>
        </is>
      </c>
      <c r="G34" s="8" t="inlineStr">
        <is>
          <t xml:space="preserve"> إجمالي عدد التشريعات المطلوب مراجعتها</t>
        </is>
      </c>
      <c r="H34" s="6" t="n">
        <v>0</v>
      </c>
      <c r="I34" s="6" t="n">
        <v>0</v>
      </c>
      <c r="J34" s="13" t="n">
        <v>0</v>
      </c>
      <c r="K34" s="9" t="n">
        <v>0</v>
      </c>
      <c r="L34" s="6" t="n">
        <v>0</v>
      </c>
      <c r="M34" s="13" t="n">
        <v>0</v>
      </c>
      <c r="N34" s="9" t="n">
        <v>2</v>
      </c>
      <c r="O34" s="6" t="n">
        <v>2</v>
      </c>
      <c r="P34" s="13" t="n">
        <v>1</v>
      </c>
      <c r="Q34" s="9" t="n"/>
      <c r="S34" s="13" t="n">
        <v>0</v>
      </c>
      <c r="T34" s="104" t="n">
        <v>1</v>
      </c>
      <c r="U34" s="104" t="n">
        <v>0.85</v>
      </c>
      <c r="W34" s="8" t="inlineStr">
        <is>
          <t>تعزيز مكانة الأمانة ككيان محوري في مركز الحكومة</t>
        </is>
      </c>
      <c r="X34" s="6" t="inlineStr">
        <is>
          <t>تعزيز التوافق لنماذج العمل والسياسات والاستراتيجيات والأطر التنظيمية للحكومة</t>
        </is>
      </c>
      <c r="Y34" s="6" t="inlineStr">
        <is>
          <t>قطاع التنمية المستدامة / قطاع التنمية الاقتصادية والاجتماعية /قطاع الحوكمة</t>
        </is>
      </c>
      <c r="Z34" s="9" t="n">
        <v>0.25</v>
      </c>
      <c r="AA34" s="9" t="n">
        <v>0.007142857142857144</v>
      </c>
      <c r="AB34" s="9" t="n">
        <v>0.05</v>
      </c>
      <c r="AC34" s="6" t="inlineStr">
        <is>
          <t>(عدد التشريعات التي تتم مراجعتها في الأمانة ضمن المدة الزمنية المحددة/ إجمالي عدد التشريعات المطلوب مراجعتها)*100</t>
        </is>
      </c>
    </row>
    <row r="35" ht="37.5" customHeight="1">
      <c r="A35" s="103" t="inlineStr">
        <is>
          <t>Governance_Performace_Tracker.xlsx</t>
        </is>
      </c>
      <c r="B35" s="7" t="inlineStr">
        <is>
          <t>الحوكمة</t>
        </is>
      </c>
      <c r="C35" s="7" t="inlineStr">
        <is>
          <t>التشريعات الحكومية</t>
        </is>
      </c>
      <c r="D35" s="7" t="inlineStr">
        <is>
          <t>نسبة التشريعات التي تتم مراجعتها في الأمانة العامة ضمن المدة الزمنية المحددة - مكتب التدقيق الداخلي</t>
        </is>
      </c>
      <c r="E35" s="6" t="inlineStr">
        <is>
          <t>ربع سنوي</t>
        </is>
      </c>
      <c r="F35" s="8" t="inlineStr">
        <is>
          <t>عدد التشريعات التي تتم مراجعتها في الأمانة ضمن المدة الزمنية المحددة</t>
        </is>
      </c>
      <c r="G35" s="8" t="inlineStr">
        <is>
          <t xml:space="preserve"> إجمالي عدد التشريعات المطلوب مراجعتها</t>
        </is>
      </c>
      <c r="H35" s="6" t="n">
        <v>0</v>
      </c>
      <c r="I35" s="6" t="n">
        <v>0</v>
      </c>
      <c r="J35" s="13" t="n">
        <v>0</v>
      </c>
      <c r="K35" s="9" t="n">
        <v>0</v>
      </c>
      <c r="L35" s="6" t="n">
        <v>0</v>
      </c>
      <c r="M35" s="13" t="n">
        <v>0</v>
      </c>
      <c r="N35" s="9" t="n">
        <v>1</v>
      </c>
      <c r="O35" s="6" t="n">
        <v>1</v>
      </c>
      <c r="P35" s="13" t="n">
        <v>1</v>
      </c>
      <c r="Q35" s="9" t="n"/>
      <c r="S35" s="13" t="n">
        <v>0</v>
      </c>
      <c r="T35" s="104" t="n">
        <v>1</v>
      </c>
      <c r="U35" s="104" t="n">
        <v>0.85</v>
      </c>
      <c r="W35" s="8" t="inlineStr">
        <is>
          <t>تعزيز مكانة الأمانة ككيان محوري في مركز الحكومة</t>
        </is>
      </c>
      <c r="X35" s="6" t="inlineStr">
        <is>
          <t>تعزيز التوافق لنماذج العمل والسياسات والاستراتيجيات والأطر التنظيمية للحكومة</t>
        </is>
      </c>
      <c r="Y35" s="6" t="inlineStr">
        <is>
          <t>قطاع التنمية المستدامة / قطاع التنمية الاقتصادية والاجتماعية /قطاع الحوكمة</t>
        </is>
      </c>
      <c r="Z35" s="9" t="n">
        <v>0.25</v>
      </c>
      <c r="AA35" s="9" t="n">
        <v>0.007142857142857144</v>
      </c>
      <c r="AB35" s="9" t="n">
        <v>0.05</v>
      </c>
      <c r="AC35" s="6" t="inlineStr">
        <is>
          <t>(عدد التشريعات التي تتم مراجعتها في الأمانة ضمن المدة الزمنية المحددة/ إجمالي عدد التشريعات المطلوب مراجعتها)*100</t>
        </is>
      </c>
    </row>
    <row r="36">
      <c r="A36" s="103" t="inlineStr">
        <is>
          <t>Governance_Performace_Tracker.xlsx</t>
        </is>
      </c>
      <c r="B36" s="7" t="inlineStr">
        <is>
          <t>الحوكمة</t>
        </is>
      </c>
      <c r="C36" s="7" t="inlineStr">
        <is>
          <t>الحوكمة</t>
        </is>
      </c>
      <c r="D36" s="7" t="inlineStr">
        <is>
          <t>نسبة الهياكل التي تتم مراجعتها ضمن الأطر الزمنية المحددة</t>
        </is>
      </c>
      <c r="E36" s="6" t="inlineStr">
        <is>
          <t>ربع سنوي</t>
        </is>
      </c>
      <c r="F36" s="8" t="inlineStr">
        <is>
          <t>عدد الهياكل التي تمت مراجعتها في الوقت المحدد</t>
        </is>
      </c>
      <c r="G36" s="8" t="inlineStr">
        <is>
          <t>إجمالي الهياكل المطلوب مراجعتها</t>
        </is>
      </c>
      <c r="H36" s="6" t="n">
        <v>0.5</v>
      </c>
      <c r="I36" s="6" t="n">
        <v>1</v>
      </c>
      <c r="J36" s="13" t="n">
        <v>0.5</v>
      </c>
      <c r="K36" s="9" t="n">
        <v>1</v>
      </c>
      <c r="L36" s="6" t="n">
        <v>1</v>
      </c>
      <c r="M36" s="13" t="n">
        <v>1</v>
      </c>
      <c r="N36" s="9" t="n"/>
      <c r="P36" s="13" t="n">
        <v>0</v>
      </c>
      <c r="Q36" s="9" t="n"/>
      <c r="S36" s="13" t="n">
        <v>0</v>
      </c>
      <c r="T36" s="104" t="n">
        <v>0.75</v>
      </c>
      <c r="U36" s="104" t="n">
        <v>0.85</v>
      </c>
      <c r="W36" s="8" t="inlineStr">
        <is>
          <t>تعزيز مكانة الأمانة ككيان محوري في مركز الحكومة</t>
        </is>
      </c>
      <c r="X36" s="6" t="inlineStr">
        <is>
          <t>تعزيز التوافق لنماذج العمل والسياسات والاستراتيجيات والأطر التنظيمية للحكومة</t>
        </is>
      </c>
      <c r="Y36" s="6" t="inlineStr">
        <is>
          <t>قطاع التنمية المستدامة، قطاع التنمية الاقتصادية والاجتماعية، قطاع الحوكمة</t>
        </is>
      </c>
      <c r="Z36" s="9" t="n">
        <v>0.25</v>
      </c>
      <c r="AA36" s="9" t="n">
        <v>0.05</v>
      </c>
      <c r="AB36" s="9" t="n">
        <v>0.05</v>
      </c>
      <c r="AC36" s="6" t="inlineStr">
        <is>
          <t>(عدد الهياكل التي تمت مراجعتها في الوقت المحدد/إجمالي الهياكل المطلوب مراجعتها)*100</t>
        </is>
      </c>
    </row>
    <row r="37">
      <c r="A37" s="103" t="inlineStr">
        <is>
          <t>Governance_Performace_Tracker.xlsx</t>
        </is>
      </c>
      <c r="B37" s="7" t="inlineStr">
        <is>
          <t>الحوكمة</t>
        </is>
      </c>
      <c r="C37" s="7" t="inlineStr">
        <is>
          <t>التنفيذ والأداء</t>
        </is>
      </c>
      <c r="D37" s="7" t="inlineStr">
        <is>
          <t>معدل الإنجاز في المشاريع والمبادرات ذات الأولوية الاستراتيجية بالأمانة العامة مقارنة بالجداول الزمنية</t>
        </is>
      </c>
      <c r="E37" s="6" t="inlineStr">
        <is>
          <t>ربع سنوي</t>
        </is>
      </c>
      <c r="F37" s="8" t="inlineStr">
        <is>
          <t>المشاريع المكتملة في الوقت المحدد</t>
        </is>
      </c>
      <c r="G37" s="8" t="inlineStr">
        <is>
          <t xml:space="preserve"> إجمالي عدد المشاريع</t>
        </is>
      </c>
      <c r="J37" s="13" t="n">
        <v>0</v>
      </c>
      <c r="K37" s="9" t="n"/>
      <c r="M37" s="13" t="n">
        <v>0</v>
      </c>
      <c r="N37" s="9" t="n">
        <v>10</v>
      </c>
      <c r="O37" s="6" t="n">
        <v>1</v>
      </c>
      <c r="P37" s="13" t="n">
        <v>1</v>
      </c>
      <c r="Q37" s="9" t="n"/>
      <c r="S37" s="13" t="n">
        <v>0</v>
      </c>
      <c r="T37" s="104" t="n">
        <v>1</v>
      </c>
      <c r="U37" s="104" t="n">
        <v>0.85</v>
      </c>
      <c r="W37" s="8" t="inlineStr">
        <is>
          <t>تعزيز مكانة الأمانة ككيان محوري في مركز الحكومة</t>
        </is>
      </c>
      <c r="X37" s="6" t="inlineStr">
        <is>
          <t>الارتقاء بالنتائج لتحقيق الميزة الريادية لدبي</t>
        </is>
      </c>
      <c r="Y37" s="6" t="inlineStr">
        <is>
          <t>قطاع الحوكمة</t>
        </is>
      </c>
      <c r="Z37" s="9" t="n">
        <v>0.1</v>
      </c>
      <c r="AA37" s="9" t="n">
        <v>0.05</v>
      </c>
      <c r="AB37" s="9" t="n">
        <v>0.05</v>
      </c>
      <c r="AC37" s="6" t="inlineStr">
        <is>
          <t>(المشاريع المكتملة في الوقت المحدد / إجمالي عدد المشاريع)*100</t>
        </is>
      </c>
    </row>
    <row r="38">
      <c r="A38" s="103" t="inlineStr">
        <is>
          <t>Governance_Performace_Tracker.xlsx</t>
        </is>
      </c>
      <c r="B38" s="7" t="inlineStr">
        <is>
          <t>الحوكمة</t>
        </is>
      </c>
      <c r="C38" s="7" t="inlineStr">
        <is>
          <t>التنفيذ والأداء</t>
        </is>
      </c>
      <c r="D38" s="7" t="inlineStr">
        <is>
          <t>نسبة الالتزام بتنفيذ الخطة الاستراتيجية للأمانة العامة</t>
        </is>
      </c>
      <c r="E38" s="6" t="inlineStr">
        <is>
          <t>ربع سنوي</t>
        </is>
      </c>
      <c r="F38" s="8" t="inlineStr">
        <is>
          <t>عدد المؤشرات التي تم تحقيقها</t>
        </is>
      </c>
      <c r="G38" s="8" t="inlineStr">
        <is>
          <t>إجمالي عدد المؤشرات المطلوب قياسها</t>
        </is>
      </c>
      <c r="J38" s="13" t="n">
        <v>0</v>
      </c>
      <c r="K38" s="9" t="n"/>
      <c r="M38" s="13" t="n">
        <v>0</v>
      </c>
      <c r="N38" s="9" t="n">
        <v>39</v>
      </c>
      <c r="O38" s="6" t="n">
        <v>54</v>
      </c>
      <c r="P38" s="13" t="n">
        <v>0.7222222222222222</v>
      </c>
      <c r="Q38" s="9" t="n"/>
      <c r="S38" s="13" t="n">
        <v>0</v>
      </c>
      <c r="T38" s="104" t="n">
        <v>0.7222222222222222</v>
      </c>
      <c r="U38" s="104" t="n">
        <v>0.85</v>
      </c>
      <c r="W38" s="8" t="inlineStr">
        <is>
          <t>تعزيز التنسيق الداخلي والابتكار والمعرفة</t>
        </is>
      </c>
      <c r="X38" s="6" t="inlineStr">
        <is>
          <t>تعزيز ثقافة التعاون والعمل المشترك</t>
        </is>
      </c>
      <c r="Y38" s="6" t="inlineStr">
        <is>
          <t>قطاع الحوكمة</t>
        </is>
      </c>
      <c r="Z38" s="9" t="n">
        <v>0.03</v>
      </c>
      <c r="AA38" s="9" t="n">
        <v>0.03</v>
      </c>
      <c r="AB38" s="9" t="n">
        <v>0.03</v>
      </c>
      <c r="AC38" s="6" t="inlineStr">
        <is>
          <t>(عدد المؤشرات التي تم تحقيقها/إجمالي عدد المؤشرات المطلوب قياسها)*100</t>
        </is>
      </c>
    </row>
    <row r="39" ht="37.5" customHeight="1">
      <c r="A39" s="103" t="inlineStr">
        <is>
          <t>Governance_Performace_Tracker.xlsx</t>
        </is>
      </c>
      <c r="B39" s="7" t="inlineStr">
        <is>
          <t>الحوكمة</t>
        </is>
      </c>
      <c r="C39" s="7" t="inlineStr">
        <is>
          <t>التنفيذ والأداء</t>
        </is>
      </c>
      <c r="D39" s="7" t="inlineStr">
        <is>
          <t>نسبة قرارات المجلس التنفيذي ومجلس الشؤون الاستراتيجية التي يتم إغلاق العمل على تنفيذها وفق الموعد المعتمد/ إجمالي القرارات الصادرة - السياسات والإستراتيجيات الاقتصادية</t>
        </is>
      </c>
      <c r="E39" s="6" t="inlineStr">
        <is>
          <t>ربع سنوي</t>
        </is>
      </c>
      <c r="F39" s="8" t="inlineStr">
        <is>
          <t>قرارات التي تتم اعتمادها للعرض وفق الموعد المحدد</t>
        </is>
      </c>
      <c r="G39" s="8" t="inlineStr">
        <is>
          <t>إجمالي قرارات الأجندة السنوية</t>
        </is>
      </c>
      <c r="J39" s="13" t="n">
        <v>0</v>
      </c>
      <c r="K39" s="9" t="n"/>
      <c r="M39" s="13" t="n">
        <v>0</v>
      </c>
      <c r="N39" s="9" t="n">
        <v>7</v>
      </c>
      <c r="O39" s="6" t="n">
        <v>8</v>
      </c>
      <c r="P39" s="13" t="n">
        <v>0.875</v>
      </c>
      <c r="Q39" s="9" t="n"/>
      <c r="S39" s="13" t="n">
        <v>0</v>
      </c>
      <c r="T39" s="104" t="n">
        <v>0.875</v>
      </c>
      <c r="U39" s="104" t="n">
        <v>0.85</v>
      </c>
      <c r="W39" s="8" t="inlineStr">
        <is>
          <t>تعزيز مكانة الأمانة ككيان محوري في مركز الحكومة</t>
        </is>
      </c>
      <c r="X39" s="6" t="inlineStr">
        <is>
          <t>تعزيز التوافق لنماذج العمل والسياسات والاستراتيجيات والأطر التنظيمية للحكومة</t>
        </is>
      </c>
      <c r="Z39" s="9" t="n"/>
      <c r="AA39" s="9" t="n"/>
      <c r="AB39" s="9" t="n"/>
    </row>
    <row r="40" ht="37.5" customHeight="1">
      <c r="A40" s="103" t="inlineStr">
        <is>
          <t>Governance_Performace_Tracker.xlsx</t>
        </is>
      </c>
      <c r="B40" s="7" t="inlineStr">
        <is>
          <t>الحوكمة</t>
        </is>
      </c>
      <c r="C40" s="7" t="inlineStr">
        <is>
          <t>التنفيذ والأداء</t>
        </is>
      </c>
      <c r="D40" s="7" t="inlineStr">
        <is>
          <t>نسبة مواضيع الأجندة السنوية التي تم تطويرها/ اعتمادها للعرض وفق الموعد المحدد/ إجمالي مواضيع الأجندة السنوية - السياسات والإستراتيجيات الاقتصادية</t>
        </is>
      </c>
      <c r="E40" s="6" t="inlineStr">
        <is>
          <t>ربع سنوي</t>
        </is>
      </c>
      <c r="F40" s="8" t="inlineStr">
        <is>
          <t>مواضيع الأجندة السنوية التي تتم اعتمادها للعرض وفق الموعد المحدد</t>
        </is>
      </c>
      <c r="G40" s="8" t="inlineStr">
        <is>
          <t>إجمالي مواضيع الأجندة السنوية</t>
        </is>
      </c>
      <c r="J40" s="13" t="n">
        <v>0</v>
      </c>
      <c r="K40" s="9" t="n"/>
      <c r="M40" s="13" t="n">
        <v>0</v>
      </c>
      <c r="N40" s="9" t="n">
        <v>9</v>
      </c>
      <c r="O40" s="6" t="n">
        <v>9</v>
      </c>
      <c r="P40" s="13" t="n">
        <v>1</v>
      </c>
      <c r="Q40" s="9" t="n"/>
      <c r="S40" s="13" t="n">
        <v>0</v>
      </c>
      <c r="T40" s="104" t="n">
        <v>1</v>
      </c>
      <c r="U40" s="104" t="n">
        <v>0.85</v>
      </c>
      <c r="W40" s="8" t="inlineStr">
        <is>
          <t>تعزيز مكانة الأمانة ككيان محوري في مركز الحكومة</t>
        </is>
      </c>
      <c r="X40" s="6" t="inlineStr">
        <is>
          <t>تعزيز التوافق لنماذج العمل والسياسات والاستراتيجيات والأطر التنظيمية للحكومة</t>
        </is>
      </c>
      <c r="Z40" s="9" t="n"/>
      <c r="AA40" s="9" t="n"/>
      <c r="AB40" s="9" t="n"/>
    </row>
    <row r="41" ht="37.5" customHeight="1">
      <c r="A41" s="103" t="inlineStr">
        <is>
          <t>Governance_Performace_Tracker.xlsx</t>
        </is>
      </c>
      <c r="B41" s="7" t="inlineStr">
        <is>
          <t>الحوكمة</t>
        </is>
      </c>
      <c r="C41" s="7" t="inlineStr">
        <is>
          <t>التنفيذ والأداء</t>
        </is>
      </c>
      <c r="D41" s="7" t="inlineStr">
        <is>
          <t>نسبة قرارات المجلس التنفيذي ومجلس الشؤون الاستراتيجية التي يتم إغلاق العمل على تنفيذها وفق الموعد المعتمد/ إجمالي القرارات الصادرة - الحوكمة</t>
        </is>
      </c>
      <c r="E41" s="6" t="inlineStr">
        <is>
          <t>ربع سنوي</t>
        </is>
      </c>
      <c r="F41" s="8" t="inlineStr">
        <is>
          <t>قرارات التي تتم اعتمادها للعرض وفق الموعد المحدد</t>
        </is>
      </c>
      <c r="G41" s="8" t="inlineStr">
        <is>
          <t>إجمالي قرارات الأجندة السنوية</t>
        </is>
      </c>
      <c r="J41" s="13" t="n">
        <v>0</v>
      </c>
      <c r="K41" s="9" t="n"/>
      <c r="M41" s="13" t="n">
        <v>0</v>
      </c>
      <c r="N41" s="9" t="n">
        <v>1</v>
      </c>
      <c r="O41" s="6" t="n">
        <v>9</v>
      </c>
      <c r="P41" s="13" t="n">
        <v>0.1111111111111111</v>
      </c>
      <c r="Q41" s="9" t="n"/>
      <c r="S41" s="13" t="n">
        <v>0</v>
      </c>
      <c r="T41" s="104" t="n">
        <v>0.1111111111111111</v>
      </c>
      <c r="U41" s="104" t="n">
        <v>0.85</v>
      </c>
      <c r="W41" s="8" t="inlineStr">
        <is>
          <t>تعزيز مكانة الأمانة ككيان محوري في مركز الحكومة</t>
        </is>
      </c>
      <c r="X41" s="6" t="inlineStr">
        <is>
          <t>تعزيز التوافق لنماذج العمل والسياسات والاستراتيجيات والأطر التنظيمية للحكومة</t>
        </is>
      </c>
      <c r="Z41" s="9" t="n"/>
      <c r="AA41" s="9" t="n"/>
      <c r="AB41" s="9" t="n"/>
    </row>
    <row r="42" ht="37.5" customHeight="1">
      <c r="A42" s="103" t="inlineStr">
        <is>
          <t>Governance_Performace_Tracker.xlsx</t>
        </is>
      </c>
      <c r="B42" s="7" t="inlineStr">
        <is>
          <t>الحوكمة</t>
        </is>
      </c>
      <c r="C42" s="7" t="inlineStr">
        <is>
          <t>التنفيذ والأداء</t>
        </is>
      </c>
      <c r="D42" s="7" t="inlineStr">
        <is>
          <t>نسبة مواضيع الأجندة السنوية التي تم تطويرها/ اعتمادها للعرض وفق الموعد المحدد/ إجمالي مواضيع الأجندة السنوية - الحوكمة</t>
        </is>
      </c>
      <c r="E42" s="6" t="inlineStr">
        <is>
          <t>ربع سنوي</t>
        </is>
      </c>
      <c r="F42" s="8" t="inlineStr">
        <is>
          <t>مواضيع الأجندة السنوية التي تتم اعتمادها للعرض وفق الموعد المحدد</t>
        </is>
      </c>
      <c r="G42" s="8" t="inlineStr">
        <is>
          <t>إجمالي مواضيع الأجندة السنوية</t>
        </is>
      </c>
      <c r="J42" s="13" t="n">
        <v>0</v>
      </c>
      <c r="K42" s="9" t="n"/>
      <c r="M42" s="13" t="n">
        <v>0</v>
      </c>
      <c r="N42" s="9" t="n">
        <v>2</v>
      </c>
      <c r="O42" s="6" t="n">
        <v>3</v>
      </c>
      <c r="P42" s="13" t="n">
        <v>0.6666666666666666</v>
      </c>
      <c r="Q42" s="9" t="n"/>
      <c r="S42" s="13" t="n">
        <v>0</v>
      </c>
      <c r="T42" s="104" t="n">
        <v>0.6666666666666666</v>
      </c>
      <c r="U42" s="104" t="n">
        <v>0.85</v>
      </c>
      <c r="W42" s="8" t="inlineStr">
        <is>
          <t>تعزيز مكانة الأمانة ككيان محوري في مركز الحكومة</t>
        </is>
      </c>
      <c r="X42" s="6" t="inlineStr">
        <is>
          <t>تعزيز التوافق لنماذج العمل والسياسات والاستراتيجيات والأطر التنظيمية للحكومة</t>
        </is>
      </c>
      <c r="Z42" s="9" t="n"/>
      <c r="AA42" s="9" t="n"/>
      <c r="AB42" s="9" t="n"/>
    </row>
    <row r="43" ht="37.5" customHeight="1">
      <c r="A43" s="103" t="inlineStr">
        <is>
          <t>Governance_Performace_Tracker.xlsx</t>
        </is>
      </c>
      <c r="B43" s="7" t="inlineStr">
        <is>
          <t>الحوكمة</t>
        </is>
      </c>
      <c r="C43" s="7" t="inlineStr">
        <is>
          <t>التنفيذ والأداء</t>
        </is>
      </c>
      <c r="D43" s="7" t="inlineStr">
        <is>
          <t>نسبة قرارات المجلس التنفيذي ومجلس الشؤون الاستراتيجية التي يتم إغلاق العمل على تنفيذها وفق الموعد المعتمد/ إجمالي القرارات الصادرة - السياسات والاستراتيجيات الاجتماعية</t>
        </is>
      </c>
      <c r="E43" s="6" t="inlineStr">
        <is>
          <t>ربع سنوي</t>
        </is>
      </c>
      <c r="F43" s="8" t="inlineStr">
        <is>
          <t>قرارات التي تتم اعتمادها للعرض وفق الموعد المحدد</t>
        </is>
      </c>
      <c r="G43" s="8" t="inlineStr">
        <is>
          <t>إجمالي قرارات الأجندة السنوية</t>
        </is>
      </c>
      <c r="J43" s="13" t="n">
        <v>0</v>
      </c>
      <c r="K43" s="9" t="n"/>
      <c r="M43" s="13" t="n">
        <v>0</v>
      </c>
      <c r="N43" s="9" t="n">
        <v>15</v>
      </c>
      <c r="O43" s="6" t="n">
        <v>18</v>
      </c>
      <c r="P43" s="13" t="n">
        <v>0.8333333333333335</v>
      </c>
      <c r="Q43" s="9" t="n"/>
      <c r="S43" s="13" t="n">
        <v>0</v>
      </c>
      <c r="T43" s="104" t="n">
        <v>0.8333333333333335</v>
      </c>
      <c r="U43" s="104" t="n">
        <v>0.85</v>
      </c>
      <c r="W43" s="8" t="inlineStr">
        <is>
          <t>تعزيز مكانة الأمانة ككيان محوري في مركز الحكومة</t>
        </is>
      </c>
      <c r="X43" s="6" t="inlineStr">
        <is>
          <t>تعزيز التوافق لنماذج العمل والسياسات والاستراتيجيات والأطر التنظيمية للحكومة</t>
        </is>
      </c>
      <c r="Z43" s="9" t="n"/>
      <c r="AA43" s="9" t="n"/>
      <c r="AB43" s="9" t="n"/>
    </row>
    <row r="44" ht="37.5" customHeight="1">
      <c r="A44" s="103" t="inlineStr">
        <is>
          <t>Governance_Performace_Tracker.xlsx</t>
        </is>
      </c>
      <c r="B44" s="7" t="inlineStr">
        <is>
          <t>الحوكمة</t>
        </is>
      </c>
      <c r="C44" s="7" t="inlineStr">
        <is>
          <t>التنفيذ والأداء</t>
        </is>
      </c>
      <c r="D44" s="7" t="inlineStr">
        <is>
          <t>نسبة مواضيع الأجندة السنوية التي تم تطويرها/ اعتمادها للعرض وفق الموعد المحدد/ إجمالي مواضيع الأجندة السنوية - السياسات والاستراتيجيات الاجتماعية</t>
        </is>
      </c>
      <c r="E44" s="6" t="inlineStr">
        <is>
          <t>ربع سنوي</t>
        </is>
      </c>
      <c r="F44" s="8" t="inlineStr">
        <is>
          <t>مواضيع الأجندة السنوية التي تتم اعتمادها للعرض وفق الموعد المحدد</t>
        </is>
      </c>
      <c r="G44" s="8" t="inlineStr">
        <is>
          <t>إجمالي مواضيع الأجندة السنوية</t>
        </is>
      </c>
      <c r="J44" s="13" t="n">
        <v>0</v>
      </c>
      <c r="K44" s="9" t="n"/>
      <c r="M44" s="13" t="n">
        <v>0</v>
      </c>
      <c r="N44" s="9" t="n">
        <v>4</v>
      </c>
      <c r="O44" s="6" t="n">
        <v>16</v>
      </c>
      <c r="P44" s="13" t="n">
        <v>0.25</v>
      </c>
      <c r="Q44" s="9" t="n"/>
      <c r="S44" s="13" t="n">
        <v>0</v>
      </c>
      <c r="T44" s="104" t="n">
        <v>0.25</v>
      </c>
      <c r="U44" s="104" t="n">
        <v>0.85</v>
      </c>
      <c r="W44" s="8" t="inlineStr">
        <is>
          <t>تعزيز مكانة الأمانة ككيان محوري في مركز الحكومة</t>
        </is>
      </c>
      <c r="X44" s="6" t="inlineStr">
        <is>
          <t>تعزيز التوافق لنماذج العمل والسياسات والاستراتيجيات والأطر التنظيمية للحكومة</t>
        </is>
      </c>
      <c r="Z44" s="9" t="n"/>
      <c r="AA44" s="9" t="n"/>
      <c r="AB44" s="9" t="n"/>
    </row>
    <row r="45" ht="37.5" customHeight="1">
      <c r="A45" s="103" t="inlineStr">
        <is>
          <t>Governance_Performace_Tracker.xlsx</t>
        </is>
      </c>
      <c r="B45" s="7" t="inlineStr">
        <is>
          <t>الحوكمة</t>
        </is>
      </c>
      <c r="C45" s="7" t="inlineStr">
        <is>
          <t>التنفيذ والأداء</t>
        </is>
      </c>
      <c r="D45" s="7" t="inlineStr">
        <is>
          <t>نسبة قرارات المجلس التنفيذي ومجلس الشؤون الاستراتيجية التي يتم إغلاق العمل على تنفيذها وفق الموعد المعتمد/ إجمالي القرارات الصادرة - التنمية المستدامة</t>
        </is>
      </c>
      <c r="E45" s="6" t="inlineStr">
        <is>
          <t>ربع سنوي</t>
        </is>
      </c>
      <c r="F45" s="8" t="inlineStr">
        <is>
          <t>قرارات التي تتم اعتمادها للعرض وفق الموعد المحدد</t>
        </is>
      </c>
      <c r="G45" s="8" t="inlineStr">
        <is>
          <t>إجمالي قرارات الأجندة السنوية</t>
        </is>
      </c>
      <c r="J45" s="13" t="n">
        <v>0</v>
      </c>
      <c r="K45" s="9" t="n"/>
      <c r="M45" s="13" t="n">
        <v>0</v>
      </c>
      <c r="N45" s="9" t="n">
        <v>16</v>
      </c>
      <c r="O45" s="6" t="n">
        <v>44</v>
      </c>
      <c r="P45" s="13" t="n">
        <v>0.3636363636363637</v>
      </c>
      <c r="Q45" s="9" t="n"/>
      <c r="S45" s="13" t="n">
        <v>0</v>
      </c>
      <c r="T45" s="104" t="n">
        <v>0.3636363636363637</v>
      </c>
      <c r="U45" s="104" t="n">
        <v>0.85</v>
      </c>
      <c r="W45" s="8" t="inlineStr">
        <is>
          <t>تعزيز مكانة الأمانة ككيان محوري في مركز الحكومة</t>
        </is>
      </c>
      <c r="X45" s="6" t="inlineStr">
        <is>
          <t>تعزيز التوافق لنماذج العمل والسياسات والاستراتيجيات والأطر التنظيمية للحكومة</t>
        </is>
      </c>
      <c r="Z45" s="9" t="n"/>
      <c r="AA45" s="9" t="n"/>
      <c r="AB45" s="9" t="n"/>
    </row>
    <row r="46" ht="37.5" customHeight="1">
      <c r="A46" s="103" t="inlineStr">
        <is>
          <t>Governance_Performace_Tracker.xlsx</t>
        </is>
      </c>
      <c r="B46" s="7" t="inlineStr">
        <is>
          <t>الحوكمة</t>
        </is>
      </c>
      <c r="C46" s="7" t="inlineStr">
        <is>
          <t>التنفيذ والأداء</t>
        </is>
      </c>
      <c r="D46" s="7" t="inlineStr">
        <is>
          <t>نسبة مواضيع الأجندة السنوية التي تم تطويرها/ اعتمادها للعرض وفق الموعد المحدد/ إجمالي مواضيع الأجندة السنوية - التنمية المستدامة</t>
        </is>
      </c>
      <c r="E46" s="6" t="inlineStr">
        <is>
          <t>ربع سنوي</t>
        </is>
      </c>
      <c r="F46" s="8" t="inlineStr">
        <is>
          <t>مواضيع الأجندة السنوية التي تتم اعتمادها للعرض وفق الموعد المحدد</t>
        </is>
      </c>
      <c r="G46" s="8" t="inlineStr">
        <is>
          <t>إجمالي مواضيع الأجندة السنوية</t>
        </is>
      </c>
      <c r="J46" s="13" t="n">
        <v>0</v>
      </c>
      <c r="K46" s="9" t="n"/>
      <c r="M46" s="13" t="n">
        <v>0</v>
      </c>
      <c r="N46" s="9" t="n">
        <v>25</v>
      </c>
      <c r="O46" s="6" t="n">
        <v>35</v>
      </c>
      <c r="P46" s="13" t="n">
        <v>0.7142857142857143</v>
      </c>
      <c r="Q46" s="9" t="n"/>
      <c r="S46" s="13" t="n">
        <v>0</v>
      </c>
      <c r="T46" s="104" t="n">
        <v>0.7142857142857143</v>
      </c>
      <c r="U46" s="104" t="n">
        <v>0.85</v>
      </c>
      <c r="W46" s="8" t="inlineStr">
        <is>
          <t>تعزيز مكانة الأمانة ككيان محوري في مركز الحكومة</t>
        </is>
      </c>
      <c r="X46" s="6" t="inlineStr">
        <is>
          <t>تعزيز التوافق لنماذج العمل والسياسات والاستراتيجيات والأطر التنظيمية للحكومة</t>
        </is>
      </c>
      <c r="Z46" s="9" t="n"/>
      <c r="AA46" s="9" t="n"/>
      <c r="AB46" s="9" t="n"/>
    </row>
    <row r="47">
      <c r="A47" s="103" t="inlineStr">
        <is>
          <t>IT_Performace_Tracker.xlsx</t>
        </is>
      </c>
      <c r="B47" s="7" t="inlineStr">
        <is>
          <t>الاتصال الحكومي وشؤون الأمانة العامة</t>
        </is>
      </c>
      <c r="C47" s="7" t="inlineStr">
        <is>
          <t>تقنية المعلومات</t>
        </is>
      </c>
      <c r="D47" s="7" t="inlineStr">
        <is>
          <t>نسبة النضج الرقمي</t>
        </is>
      </c>
      <c r="E47" s="6" t="inlineStr">
        <is>
          <t>سنوي</t>
        </is>
      </c>
      <c r="F47" s="8" t="inlineStr">
        <is>
          <t>عدد برامج النضج الرقمي المنفذة</t>
        </is>
      </c>
      <c r="G47" s="8" t="inlineStr">
        <is>
          <t>إجمالي عدد برامج النضج الرقمي المخطط لها</t>
        </is>
      </c>
      <c r="J47" s="13" t="n">
        <v>0</v>
      </c>
      <c r="K47" s="9" t="n"/>
      <c r="M47" s="13" t="n">
        <v>0</v>
      </c>
      <c r="N47" s="9" t="n"/>
      <c r="P47" s="13" t="n">
        <v>0</v>
      </c>
      <c r="Q47" s="9" t="n"/>
      <c r="S47" s="13" t="n">
        <v>0</v>
      </c>
      <c r="T47" s="104" t="n">
        <v>0</v>
      </c>
      <c r="U47" s="104" t="n">
        <v>0.85</v>
      </c>
      <c r="W47" s="8" t="inlineStr">
        <is>
          <t>تعزيز التنسيق الداخلي والابتكار والمعرفة</t>
        </is>
      </c>
      <c r="X47" s="6" t="inlineStr">
        <is>
          <t>تحقيق التميز في الأداء والخدمات المؤسسية</t>
        </is>
      </c>
      <c r="Y47" s="6" t="inlineStr">
        <is>
          <t>قطاع الاتصال وشؤون الأمانة</t>
        </is>
      </c>
      <c r="Z47" s="9" t="n">
        <v>0.03</v>
      </c>
      <c r="AA47" s="9" t="n">
        <v>0.03</v>
      </c>
      <c r="AB47" s="9" t="n">
        <v>0.03</v>
      </c>
      <c r="AC47" s="6" t="inlineStr">
        <is>
          <t>(عدد برامج النضج الرقمي المنفذة/إجمالي عدد برامج النضج الرقمي المخطط لها)*100</t>
        </is>
      </c>
    </row>
    <row r="48">
      <c r="A48" s="103" t="inlineStr">
        <is>
          <t>Partnership_Performance_Tracker.xlsx</t>
        </is>
      </c>
      <c r="B48" s="7" t="inlineStr">
        <is>
          <t>الأمانة العامة للمجلس التنفيذي</t>
        </is>
      </c>
      <c r="C48" s="7" t="inlineStr">
        <is>
          <t>الشراكات والعلاقات الدولية</t>
        </is>
      </c>
      <c r="D48" s="7" t="inlineStr">
        <is>
          <t>عدد الشراكات والاتفاقيات تحت مظلة الأمانة بالاضافة الى مستوى الامارة, مستوى تأثيرها 3 فأعلى من أصل 5</t>
        </is>
      </c>
      <c r="E48" s="6" t="inlineStr">
        <is>
          <t>سنوي</t>
        </is>
      </c>
      <c r="F48" s="8" t="n"/>
      <c r="G48" s="8" t="n"/>
      <c r="J48" s="13" t="n">
        <v>0</v>
      </c>
      <c r="K48" s="9" t="n"/>
      <c r="M48" s="13" t="n">
        <v>0</v>
      </c>
      <c r="N48" s="9" t="n"/>
      <c r="P48" s="13" t="n">
        <v>0</v>
      </c>
      <c r="Q48" s="9" t="n"/>
      <c r="S48" s="13" t="n">
        <v>0</v>
      </c>
      <c r="T48" s="104" t="n">
        <v>0</v>
      </c>
      <c r="U48" s="104" t="n"/>
      <c r="W48" s="8" t="n"/>
      <c r="Z48" s="9" t="n"/>
      <c r="AA48" s="9" t="n"/>
      <c r="AB48" s="9" t="n"/>
    </row>
    <row r="49">
      <c r="A49" s="103" t="inlineStr">
        <is>
          <t>Partnership_Performance_Tracker.xlsx</t>
        </is>
      </c>
      <c r="B49" s="7" t="inlineStr">
        <is>
          <t>الأمانة العامة للمجلس التنفيذي</t>
        </is>
      </c>
      <c r="C49" s="7" t="inlineStr">
        <is>
          <t>الشراكات والعلاقات الدولية</t>
        </is>
      </c>
      <c r="D49" s="7" t="inlineStr">
        <is>
          <t>عدد اتفاقيات التعاون الدولية على مستوى المدن (دبي و مدن أخرى) مع قياس معدل النمو السنوي</t>
        </is>
      </c>
      <c r="E49" s="6" t="inlineStr">
        <is>
          <t>سنوي</t>
        </is>
      </c>
      <c r="F49" s="8" t="n"/>
      <c r="G49" s="8" t="n"/>
      <c r="J49" s="13" t="n">
        <v>0</v>
      </c>
      <c r="K49" s="9" t="n"/>
      <c r="M49" s="13" t="n">
        <v>0</v>
      </c>
      <c r="N49" s="9" t="n"/>
      <c r="P49" s="13" t="n">
        <v>0</v>
      </c>
      <c r="Q49" s="9" t="n"/>
      <c r="S49" s="13" t="n">
        <v>0</v>
      </c>
      <c r="T49" s="104" t="n">
        <v>0</v>
      </c>
      <c r="U49" s="104" t="n"/>
      <c r="W49" s="8" t="n"/>
      <c r="Z49" s="9" t="n"/>
      <c r="AA49" s="9" t="n"/>
      <c r="AB49" s="9" t="n"/>
    </row>
    <row r="50">
      <c r="A50" s="103" t="inlineStr">
        <is>
          <t>Partnership_Performance_Tracker.xlsx</t>
        </is>
      </c>
      <c r="B50" s="7" t="inlineStr">
        <is>
          <t>الأمانة العامة للمجلس التنفيذي</t>
        </is>
      </c>
      <c r="C50" s="7" t="inlineStr">
        <is>
          <t>الشراكات والعلاقات الدولية</t>
        </is>
      </c>
      <c r="D50" s="7" t="inlineStr">
        <is>
          <t>عدد االشراكات الجديدة عبر كافة الادارات</t>
        </is>
      </c>
      <c r="E50" s="6" t="inlineStr">
        <is>
          <t>سنوي</t>
        </is>
      </c>
      <c r="F50" s="8" t="n"/>
      <c r="G50" s="8" t="n"/>
      <c r="J50" s="13" t="n">
        <v>0</v>
      </c>
      <c r="K50" s="9" t="n"/>
      <c r="M50" s="13" t="n">
        <v>0</v>
      </c>
      <c r="N50" s="9" t="n"/>
      <c r="P50" s="13" t="n">
        <v>0</v>
      </c>
      <c r="Q50" s="9" t="n"/>
      <c r="S50" s="13" t="n">
        <v>0</v>
      </c>
      <c r="T50" s="104" t="n">
        <v>0</v>
      </c>
      <c r="U50" s="104" t="n"/>
      <c r="W50" s="8" t="n"/>
      <c r="Z50" s="9" t="n"/>
      <c r="AA50" s="9" t="n"/>
      <c r="AB50" s="9" t="n"/>
    </row>
    <row r="51">
      <c r="A51" s="103" t="inlineStr">
        <is>
          <t>PE_Performace_Tracker.xlsx</t>
        </is>
      </c>
      <c r="B51" s="7" t="inlineStr">
        <is>
          <t>الاتصال الحكومي وشؤون الأمانة العامة</t>
        </is>
      </c>
      <c r="C51" s="7" t="inlineStr">
        <is>
          <t>تميز الموارد البشرية</t>
        </is>
      </c>
      <c r="D51" s="7" t="inlineStr">
        <is>
          <t>نسبة تطبيق الخطط لتطوير قدرات الموظفين (خطط التدريب)</t>
        </is>
      </c>
      <c r="E51" s="6" t="inlineStr">
        <is>
          <t>نصف سنوي</t>
        </is>
      </c>
      <c r="F51" s="8" t="inlineStr">
        <is>
          <t>عدد الموظفين الملتحقين ببرامج وخطط التطوير</t>
        </is>
      </c>
      <c r="G51" s="8" t="inlineStr">
        <is>
          <t>إجمالي عدد الموظفين المستهدف تطويرهم</t>
        </is>
      </c>
      <c r="H51" s="6" t="n">
        <v>17</v>
      </c>
      <c r="I51" s="6" t="n">
        <v>22</v>
      </c>
      <c r="J51" s="13" t="n">
        <v>0.7727272727272726</v>
      </c>
      <c r="K51" s="9" t="n">
        <v>30</v>
      </c>
      <c r="L51" s="6" t="n">
        <v>20</v>
      </c>
      <c r="M51" s="13" t="n">
        <v>1</v>
      </c>
      <c r="N51" s="9" t="n">
        <v>13</v>
      </c>
      <c r="O51" s="6" t="n">
        <v>20</v>
      </c>
      <c r="P51" s="13" t="n">
        <v>0.65</v>
      </c>
      <c r="Q51" s="9" t="n"/>
      <c r="R51" s="6" t="n">
        <v>26</v>
      </c>
      <c r="S51" s="13" t="n">
        <v>0</v>
      </c>
      <c r="T51" s="104" t="n">
        <v>0.6818181818181818</v>
      </c>
      <c r="U51" s="104" t="n">
        <v>0.9</v>
      </c>
      <c r="W51" s="8" t="inlineStr">
        <is>
          <t>تعزيز التنسيق الداخلي والابتكار والمعرفة</t>
        </is>
      </c>
      <c r="X51" s="6" t="inlineStr">
        <is>
          <t>توفير بيئة عمل محفزة وسعيدة</t>
        </is>
      </c>
      <c r="Y51" s="6" t="inlineStr">
        <is>
          <t>قطاع الاتصال الحكومي وشؤون الأمانة العامة</t>
        </is>
      </c>
      <c r="Z51" s="9" t="n">
        <v>0.09</v>
      </c>
      <c r="AA51" s="9" t="n">
        <v>0.02</v>
      </c>
      <c r="AB51" s="9" t="n">
        <v>0.02</v>
      </c>
      <c r="AC51" s="6" t="inlineStr">
        <is>
          <t>(عدد الموظفين الملتحقين ببرامج وخطط التطوير/إجمالي عدد الموظفين المستهدف تطويرهم)*100</t>
        </is>
      </c>
    </row>
    <row r="52">
      <c r="A52" s="103" t="inlineStr">
        <is>
          <t>PE_Performace_Tracker.xlsx</t>
        </is>
      </c>
      <c r="B52" s="7" t="inlineStr">
        <is>
          <t>الاتصال الحكومي وشؤون الأمانة العامة</t>
        </is>
      </c>
      <c r="C52" s="7" t="inlineStr">
        <is>
          <t>تميز الموارد البشرية</t>
        </is>
      </c>
      <c r="D52" s="7" t="inlineStr">
        <is>
          <t>نسبة سعادة الموظفين</t>
        </is>
      </c>
      <c r="E52" s="6" t="inlineStr">
        <is>
          <t>سنوي</t>
        </is>
      </c>
      <c r="F52" s="8" t="inlineStr">
        <is>
          <t>عدد الموظفين الذين أعربوا عن سعادتهم</t>
        </is>
      </c>
      <c r="G52" s="8" t="inlineStr">
        <is>
          <t>إجمالي عدد الموظفين المشاركين في التقييم</t>
        </is>
      </c>
      <c r="H52" s="6" t="n">
        <v>0.89</v>
      </c>
      <c r="I52" s="6" t="n">
        <v>1</v>
      </c>
      <c r="J52" s="13" t="n">
        <v>0.89</v>
      </c>
      <c r="K52" s="9" t="n"/>
      <c r="M52" s="13" t="n">
        <v>0</v>
      </c>
      <c r="N52" s="9" t="n"/>
      <c r="P52" s="13" t="n">
        <v>0</v>
      </c>
      <c r="Q52" s="9" t="n"/>
      <c r="S52" s="13" t="n">
        <v>0</v>
      </c>
      <c r="T52" s="104" t="n">
        <v>0.89</v>
      </c>
      <c r="U52" s="104" t="n">
        <v>0.9</v>
      </c>
      <c r="W52" s="8" t="inlineStr">
        <is>
          <t>تعزيز التنسيق الداخلي والابتكار والمعرفة</t>
        </is>
      </c>
      <c r="X52" s="6" t="inlineStr">
        <is>
          <t>توفير بيئة عمل محفزة وسعيدة</t>
        </is>
      </c>
      <c r="Y52" s="6" t="inlineStr">
        <is>
          <t>قطاع الاتصال الحكومي وشؤون الأمانة العامة</t>
        </is>
      </c>
      <c r="Z52" s="9" t="n">
        <v>0.09</v>
      </c>
      <c r="AA52" s="9" t="n">
        <v>0.05</v>
      </c>
      <c r="AB52" s="9" t="n">
        <v>0.05</v>
      </c>
      <c r="AC52" s="6" t="inlineStr">
        <is>
          <t>(عدد الموظفين الذين أعربوا عن سعادتهم/إجمالي عدد الموظفين المشاركين في التقييم)*100</t>
        </is>
      </c>
    </row>
    <row r="53" ht="37.5" customHeight="1">
      <c r="A53" s="103" t="inlineStr">
        <is>
          <t>PE_Performace_Tracker.xlsx</t>
        </is>
      </c>
      <c r="B53" s="7" t="inlineStr">
        <is>
          <t>الاتصال الحكومي وشؤون الأمانة العامة</t>
        </is>
      </c>
      <c r="C53" s="7" t="inlineStr">
        <is>
          <t>تميز الموارد البشرية</t>
        </is>
      </c>
      <c r="D53" s="7" t="inlineStr">
        <is>
          <t>نسبة الرضا عن التعاون الداخلي</t>
        </is>
      </c>
      <c r="E53" s="6" t="inlineStr">
        <is>
          <t>سنوي</t>
        </is>
      </c>
      <c r="F53" s="8" t="inlineStr">
        <is>
          <t>عدد الموظفين الذين أعربوا عن سعادتهم فيما يخص التعاون الداخلي</t>
        </is>
      </c>
      <c r="G53" s="8" t="inlineStr">
        <is>
          <t>إجمالي عدد الموظفين المشاركين في التقييم</t>
        </is>
      </c>
      <c r="H53" s="6" t="n">
        <v>91</v>
      </c>
      <c r="I53" s="6" t="n">
        <v>100</v>
      </c>
      <c r="J53" s="13" t="n">
        <v>0.91</v>
      </c>
      <c r="K53" s="9" t="n">
        <v>91</v>
      </c>
      <c r="L53" s="6" t="n">
        <v>100</v>
      </c>
      <c r="M53" s="13" t="n">
        <v>0.91</v>
      </c>
      <c r="N53" s="9" t="n">
        <v>91</v>
      </c>
      <c r="O53" s="6" t="n">
        <v>100</v>
      </c>
      <c r="P53" s="13" t="n">
        <v>0.91</v>
      </c>
      <c r="Q53" s="9" t="n"/>
      <c r="S53" s="13" t="n">
        <v>0</v>
      </c>
      <c r="T53" s="104" t="n">
        <v>0.91</v>
      </c>
      <c r="U53" s="104" t="n">
        <v>0.85</v>
      </c>
      <c r="W53" s="8" t="inlineStr">
        <is>
          <t>تعزيز التنسيق الداخلي والابتكار والمعرفة</t>
        </is>
      </c>
      <c r="X53" s="6" t="inlineStr">
        <is>
          <t>توفير بيئة عمل محفزة وسعيدة</t>
        </is>
      </c>
      <c r="Y53" s="6" t="inlineStr">
        <is>
          <t>قطاع الاتصال الحكومي وشؤون الأمانة العامة</t>
        </is>
      </c>
      <c r="Z53" s="9" t="n">
        <v>0.09</v>
      </c>
      <c r="AA53" s="9" t="n">
        <v>0.02</v>
      </c>
      <c r="AB53" s="9" t="n">
        <v>0.02</v>
      </c>
      <c r="AC53" s="6" t="inlineStr">
        <is>
          <t>(عدد الموظفين الذين أعربوا عن سعادتهم فيما يخص التعاون الداخلي/إجمالي عدد الموظفين المشاركين في التقييم)*100</t>
        </is>
      </c>
      <c r="AF53" s="10" t="n"/>
    </row>
    <row r="54">
      <c r="A54" s="103" t="inlineStr">
        <is>
          <t>RaS_Performace_Tracker.xlsx</t>
        </is>
      </c>
      <c r="B54" s="7" t="inlineStr">
        <is>
          <t>الأمانة العامة للمجلس التنفيذي</t>
        </is>
      </c>
      <c r="C54" s="7" t="inlineStr">
        <is>
          <t>الأبحاث والرصد</t>
        </is>
      </c>
      <c r="D54" s="7" t="inlineStr">
        <is>
          <t>نسبة الجاهزية الريادية</t>
        </is>
      </c>
      <c r="E54" s="6" t="inlineStr">
        <is>
          <t>سنوي</t>
        </is>
      </c>
      <c r="F54" s="8" t="inlineStr">
        <is>
          <t>عدد برامج الجاهزية الريادية المنفذة</t>
        </is>
      </c>
      <c r="G54" s="8" t="inlineStr">
        <is>
          <t>إجمالي عدد برامج الجاهزية الريادية المخطط لها</t>
        </is>
      </c>
      <c r="J54" s="13" t="n">
        <v>0</v>
      </c>
      <c r="K54" s="9" t="n"/>
      <c r="M54" s="13" t="n">
        <v>0</v>
      </c>
      <c r="N54" s="9" t="n"/>
      <c r="P54" s="13" t="n">
        <v>0</v>
      </c>
      <c r="Q54" s="9" t="n"/>
      <c r="S54" s="13" t="n">
        <v>0</v>
      </c>
      <c r="T54" s="104" t="n">
        <v>0</v>
      </c>
      <c r="U54" s="104" t="n">
        <v>0.7</v>
      </c>
      <c r="W54" s="8" t="inlineStr">
        <is>
          <t>تعزيز التنسيق الداخلي والابتكار والمعرفة</t>
        </is>
      </c>
      <c r="X54" s="6" t="inlineStr">
        <is>
          <t>ترسيخ ثقافة التشارك المعرفي والجاهزية للمستقبل</t>
        </is>
      </c>
      <c r="Y54" s="6" t="inlineStr">
        <is>
          <t>إدارة الأبحاث والرصد</t>
        </is>
      </c>
      <c r="Z54" s="9" t="n">
        <v>0.08</v>
      </c>
      <c r="AA54" s="9" t="n">
        <v>0.02</v>
      </c>
      <c r="AB54" s="9" t="n">
        <v>0.02</v>
      </c>
      <c r="AC54" s="6" t="inlineStr">
        <is>
          <t>(عدد برامج الجاهزية الريادية المنفذة/إجمالي عدد برامج الجاهزية الريادية المخطط لها)*100</t>
        </is>
      </c>
    </row>
    <row r="55">
      <c r="A55" s="103" t="inlineStr">
        <is>
          <t>RaS_Performace_Tracker.xlsx</t>
        </is>
      </c>
      <c r="B55" s="7" t="inlineStr">
        <is>
          <t>الأمانة العامة للمجلس التنفيذي</t>
        </is>
      </c>
      <c r="C55" s="7" t="inlineStr">
        <is>
          <t>الأبحاث والرصد</t>
        </is>
      </c>
      <c r="D55" s="7" t="inlineStr">
        <is>
          <t>نسبة مشاركة الموظفين في عمليات توليد الابتكارية من خلال المنصات الداخلية</t>
        </is>
      </c>
      <c r="E55" s="6" t="inlineStr">
        <is>
          <t>نصف سنوي</t>
        </is>
      </c>
      <c r="F55" s="8" t="inlineStr">
        <is>
          <t>عدد الموظفين المشاركين في تقديم الأفكار والمقترحات</t>
        </is>
      </c>
      <c r="G55" s="8" t="inlineStr">
        <is>
          <t>إجمالي عدد الموظفين</t>
        </is>
      </c>
      <c r="J55" s="13" t="n">
        <v>0</v>
      </c>
      <c r="K55" s="9" t="n">
        <v>50</v>
      </c>
      <c r="L55" s="6" t="n">
        <v>93</v>
      </c>
      <c r="M55" s="13" t="n">
        <v>0.5376344086021505</v>
      </c>
      <c r="N55" s="9" t="n"/>
      <c r="P55" s="13" t="n">
        <v>0</v>
      </c>
      <c r="Q55" s="9" t="n"/>
      <c r="S55" s="13" t="n">
        <v>0</v>
      </c>
      <c r="T55" s="104" t="n">
        <v>0.5376344086021505</v>
      </c>
      <c r="U55" s="104" t="n">
        <v>0.8</v>
      </c>
      <c r="W55" s="8" t="inlineStr">
        <is>
          <t>تعزيز التنسيق الداخلي والابتكار والمعرفة</t>
        </is>
      </c>
      <c r="X55" s="6" t="inlineStr">
        <is>
          <t>ترسيخ ثقافة التشارك المعرفي والجاهزية للمستقبل</t>
        </is>
      </c>
      <c r="Y55" s="6" t="inlineStr">
        <is>
          <t>إدارة الأبحاث والرصد</t>
        </is>
      </c>
      <c r="Z55" s="9" t="n">
        <v>0.08</v>
      </c>
      <c r="AA55" s="9" t="n">
        <v>0.02</v>
      </c>
      <c r="AB55" s="9" t="n">
        <v>0.02</v>
      </c>
      <c r="AC55" s="6" t="inlineStr">
        <is>
          <t>(عدد الموظفين المشاركين في تقديم الأفكار والمقترحات/إجمالي عدد الموظفين)*100</t>
        </is>
      </c>
    </row>
    <row r="57">
      <c r="S57" s="10" t="n"/>
      <c r="T57" s="10" t="n"/>
    </row>
  </sheetData>
  <conditionalFormatting sqref="D1:D1048576">
    <cfRule type="duplicateValues" priority="1" dxfId="0"/>
  </conditionalFormatting>
  <dataValidations count="6">
    <dataValidation sqref="A55 D55 F55:V55 Y55:AC55" showDropDown="0" showInputMessage="1" showErrorMessage="1" allowBlank="1" errorTitle="اختيار خاطئ!" error="يرجى الاختيار من القائمة فقط."/>
    <dataValidation sqref="X2:X55" showDropDown="0" showInputMessage="1" showErrorMessage="1" allowBlank="1" errorTitle="اختيار خاطئ!" error="يرجى الاختيار من القائمة فقط." type="list">
      <formula1>OperationalObjectivesList</formula1>
    </dataValidation>
    <dataValidation sqref="W2:W55" showDropDown="0" showInputMessage="1" showErrorMessage="1" allowBlank="1" errorTitle="اختيار خاطئ!" error="يرجى الاختيار من القائمة فقط." type="list">
      <formula1>StrategicObjectivesList</formula1>
    </dataValidation>
    <dataValidation sqref="E2:E55" showDropDown="0" showInputMessage="1" showErrorMessage="1" allowBlank="1" errorTitle="اختيار خاطئ!" error="يرجى الاختيار من القائمة فقط." type="list">
      <formula1>FrequencyList</formula1>
    </dataValidation>
    <dataValidation sqref="C2:C55" showDropDown="0" showInputMessage="1" showErrorMessage="1" allowBlank="1" errorTitle="اختيار خاطئ!" error="يرجى الاختيار من القائمة فقط." type="list">
      <formula1>DepartmentsList</formula1>
    </dataValidation>
    <dataValidation sqref="B2:B55" showDropDown="0" showInputMessage="1" showErrorMessage="1" allowBlank="1" errorTitle="اختيار خاطئ!" error="يرجى الاختيار من القائمة فقط." type="list">
      <formula1>SectorsList</formula1>
    </dataValidation>
  </dataValidations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B11"/>
  <sheetViews>
    <sheetView workbookViewId="0">
      <selection activeCell="A1" sqref="A1"/>
    </sheetView>
  </sheetViews>
  <sheetFormatPr baseColWidth="8" defaultRowHeight="15"/>
  <sheetData>
    <row r="2">
      <c r="A2" t="inlineStr">
        <is>
          <t>GVData</t>
        </is>
      </c>
      <c r="B2" t="inlineStr">
        <is>
          <t>ew0KICAiZG9jSUQiOiAiYjI1OTZlYjEtZTg4Zi00N2Y2LTkyNTYtMmFjY2EwMmJmMzJiIiwNCiAgInRhZ3NldF9lMTY0MDlhN18xNzAwXzQxNTNfOTA5MF8zOTU1YmMyZjBhZThfY2xhc3NpZmljYXRpb24iOiAiT3BlbiIsDQogICJIZWFkZXJMZWZ0IjogIiIsDQog</t>
        </is>
      </c>
    </row>
    <row r="3">
      <c r="A3" t="inlineStr">
        <is>
          <t>GVData0</t>
        </is>
      </c>
      <c r="B3" t="inlineStr">
        <is>
          <t>ICJIZWFkZXJDZW50ZXIiOiAiIiwNCiAgIkhlYWRlclJpZ2h0IjogIiIsDQogICJGb290ZXJMZWZ0IjogIiIsDQogICJGb290ZXJDZW50ZXIiOiAiXHUwMDI2SzAwODAwNFx1MDAyNjEwQ2xhc3NpZmllZCBhcyBPcGVuIGJ5IFRFQyBETFAiLA0KICAiRm9vdGVyUmln</t>
        </is>
      </c>
    </row>
    <row r="4">
      <c r="A4" t="inlineStr">
        <is>
          <t>ClassificationTagSetId</t>
        </is>
      </c>
      <c r="B4" t="inlineStr">
        <is>
          <t>e16409a7-1700-4153-9090-3955bc2f0ae8</t>
        </is>
      </c>
    </row>
    <row r="5">
      <c r="A5" t="inlineStr">
        <is>
          <t>Classification</t>
        </is>
      </c>
      <c r="B5" t="inlineStr">
        <is>
          <t>Open</t>
        </is>
      </c>
    </row>
    <row r="6">
      <c r="A6" t="inlineStr">
        <is>
          <t>ComplianceTagSetId</t>
        </is>
      </c>
      <c r="B6" t="inlineStr">
        <is>
          <t>f14fc1f1-8950-40d5-8a29-45909da947d6</t>
        </is>
      </c>
    </row>
    <row r="7">
      <c r="A7" t="inlineStr">
        <is>
          <t>FileId</t>
        </is>
      </c>
      <c r="B7" t="inlineStr">
        <is>
          <t>b2596eb1-e88f-47f6-9256-2acca02bf32b</t>
        </is>
      </c>
    </row>
    <row r="8">
      <c r="A8" t="inlineStr">
        <is>
          <t>UserId</t>
        </is>
      </c>
      <c r="B8" t="inlineStr">
        <is>
          <t>Obaid Rashed Mohammed Bin Hashem</t>
        </is>
      </c>
    </row>
    <row r="9">
      <c r="A9" t="inlineStr">
        <is>
          <t>TagDateTime</t>
        </is>
      </c>
      <c r="B9" t="inlineStr">
        <is>
          <t>2025-01-25T08:06:58Z</t>
        </is>
      </c>
    </row>
    <row r="10">
      <c r="A10" t="inlineStr">
        <is>
          <t>GVData1</t>
        </is>
      </c>
      <c r="B10" t="inlineStr">
        <is>
          <t>aHQiOiAiIg0KfQ==</t>
        </is>
      </c>
    </row>
    <row r="11">
      <c r="A11" t="inlineStr">
        <is>
          <t>GVData2</t>
        </is>
      </c>
      <c r="B11" t="inlineStr">
        <is>
          <t>(end)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Obaid Rashed Bin Hashem</dc:creator>
  <dcterms:created xmlns:dcterms="http://purl.org/dc/terms/" xmlns:xsi="http://www.w3.org/2001/XMLSchema-instance" xsi:type="dcterms:W3CDTF">2025-01-24T06:43:26Z</dcterms:created>
  <dcterms:modified xmlns:dcterms="http://purl.org/dc/terms/" xmlns:xsi="http://www.w3.org/2001/XMLSchema-instance" xsi:type="dcterms:W3CDTF">2026-10-10T19:29:08Z</dcterms:modified>
  <cp:lastModifiedBy>Obaid Rashed Bin Hashem</cp:lastModifiedBy>
  <cp:lastPrinted>2026-10-06T19:57:14Z</cp:lastPrinted>
</cp:coreProperties>
</file>

<file path=docProps/custom.xml><?xml version="1.0" encoding="utf-8"?>
<Properties xmlns="http://schemas.openxmlformats.org/officeDocument/2006/custom-properties">
  <property name="GVData" fmtid="{D5CDD505-2E9C-101B-9397-08002B2CF9AE}" pid="2">
    <vt:lpwstr xmlns:vt="http://schemas.openxmlformats.org/officeDocument/2006/docPropsVTypes">ew0KICAidGFnc2V0X2UxNjQwOWE3XzE3MDBfNDE1M185MDkwXzM5NTViYzJmMGFlOF9jbGFzc2lmaWNhdGlvbiI6ICJQdWJsaWMiLA0KICAiT1MiOiAiV2luZG93cyIsDQogICJkb2NJRCI6ICI5NTk5NTM0Zi01ZDc5LTRhZjUtYjZkNi0yNTk3MmYxNjBlMzIiLA0K</vt:lpwstr>
  </property>
  <property name="GVData0" fmtid="{D5CDD505-2E9C-101B-9397-08002B2CF9AE}" pid="3">
    <vt:lpwstr xmlns:vt="http://schemas.openxmlformats.org/officeDocument/2006/docPropsVTypes">ICAiZG9jU3RhdGUiOiAie1xyXG4gIFx1MDAyMjNyZFBhcnR5Rm9vdGVyXHUwMDIyOiBcdTAwMjJcdTAwMjIsXHJcbiAgXHUwMDIyQ3VycmVudFN0YXRlXHUwMDIyOiBcdTAwMjJ7XFx1MDAyMkZpcnN0UGFnZURpZmZlcmVudFxcdTAwMjI6ZmFsc2UsXFx1MDAyMkRp</vt:lpwstr>
  </property>
  <property name="ClassificationTagSetId" fmtid="{D5CDD505-2E9C-101B-9397-08002B2CF9AE}" pid="4">
    <vt:lpwstr xmlns:vt="http://schemas.openxmlformats.org/officeDocument/2006/docPropsVTypes">e16409a7-1700-4153-9090-3955bc2f0ae8</vt:lpwstr>
  </property>
  <property name="Classification" fmtid="{D5CDD505-2E9C-101B-9397-08002B2CF9AE}" pid="5">
    <vt:lpwstr xmlns:vt="http://schemas.openxmlformats.org/officeDocument/2006/docPropsVTypes">Open</vt:lpwstr>
  </property>
  <property name="ComplianceTagSetId" fmtid="{D5CDD505-2E9C-101B-9397-08002B2CF9AE}" pid="6">
    <vt:lpwstr xmlns:vt="http://schemas.openxmlformats.org/officeDocument/2006/docPropsVTypes">f14fc1f1-8950-40d5-8a29-45909da947d6</vt:lpwstr>
  </property>
  <property name="FileId" fmtid="{D5CDD505-2E9C-101B-9397-08002B2CF9AE}" pid="7">
    <vt:lpwstr xmlns:vt="http://schemas.openxmlformats.org/officeDocument/2006/docPropsVTypes">9599534f-5d79-4af5-b6d6-25972f160e32</vt:lpwstr>
  </property>
  <property name="UserId" fmtid="{D5CDD505-2E9C-101B-9397-08002B2CF9AE}" pid="8">
    <vt:lpwstr xmlns:vt="http://schemas.openxmlformats.org/officeDocument/2006/docPropsVTypes">Sara Hassan karani</vt:lpwstr>
  </property>
  <property name="TagDateTime" fmtid="{D5CDD505-2E9C-101B-9397-08002B2CF9AE}" pid="9">
    <vt:lpwstr xmlns:vt="http://schemas.openxmlformats.org/officeDocument/2006/docPropsVTypes">2025-11-13T08:01:45Z</vt:lpwstr>
  </property>
  <property name="GVData1" fmtid="{D5CDD505-2E9C-101B-9397-08002B2CF9AE}" pid="10">
    <vt:lpwstr xmlns:vt="http://schemas.openxmlformats.org/officeDocument/2006/docPropsVTypes">ZmZlcmVudE9kZEFuZEV2ZW5QYWdlc1xcdTAwMjI6ZmFsc2UsXFx1MDAyMlBhZ2VDb3VudFxcdTAwMjI6MTIsXFx1MDAyMkhlYWRlck1ldGFkYXRhXFx1MDAyMjpcXHUwMDIyXFx1MDAyMixcXHUwMDIyVGhpcmRQYXJ0eUhlYWRlck1ldGFkYXRhXFx1MDAyMjpcXHUw</vt:lpwstr>
  </property>
  <property name="GVData2" fmtid="{D5CDD505-2E9C-101B-9397-08002B2CF9AE}" pid="11">
    <vt:lpwstr xmlns:vt="http://schemas.openxmlformats.org/officeDocument/2006/docPropsVTypes">MDIyXFx1MDAyMixcXHUwMDIyR1ZIZWFkZXJFeGlzdHNcXHUwMDIyOmZhbHNlLFxcdTAwMjJOb25HVkhlYWRlckV4aXN0c1xcdTAwMjI6ZmFsc2UsXFx1MDAyMkZsb2F0aW5nSGVhZGVyRXhpc3RzXFx1MDAyMjpmYWxzZSxcXHUwMDIyTm9uR1ZIZWFkZXJTaGFwZUV4</vt:lpwstr>
  </property>
  <property name="GVData3" fmtid="{D5CDD505-2E9C-101B-9397-08002B2CF9AE}" pid="12">
    <vt:lpwstr xmlns:vt="http://schemas.openxmlformats.org/officeDocument/2006/docPropsVTypes">aXN0c1xcdTAwMjI6ZmFsc2UsXFx1MDAyMlRoaXJkUGFydHlIZWFkZXJzXFx1MDAyMjpbXSxcXHUwMDIyRm9vdGVyTWV0YWRhdGFcXHUwMDIyOlxcdTAwMjJ7XFxcXFxcdTAwMjJMZWZ0XFxcXFxcdTAwMjI6XFxcXFxcdTAwMjJcXFxcXFx1MDAyMixcXFxcXFx1MDAy</vt:lpwstr>
  </property>
  <property name="GVData4" fmtid="{D5CDD505-2E9C-101B-9397-08002B2CF9AE}" pid="13">
    <vt:lpwstr xmlns:vt="http://schemas.openxmlformats.org/officeDocument/2006/docPropsVTypes">MkNlbnRlclxcXFxcXHUwMDIyOlxcXFxcXHUwMDIyQ2xhc3NpZmljYXRpb246IE9wZW5cXFxcXFx1MDAyMixcXFxcXFx1MDAyMlJpZ2h0XFxcXFxcdTAwMjI6XFxcXFxcdTAwMjJcXFxcXFx1MDAyMn1cXHUwMDIyLFxcdTAwMjJUaGlyZFBhcnR5Rm9vdGVyTWV0YWRh</vt:lpwstr>
  </property>
  <property name="GVData5" fmtid="{D5CDD505-2E9C-101B-9397-08002B2CF9AE}" pid="14">
    <vt:lpwstr xmlns:vt="http://schemas.openxmlformats.org/officeDocument/2006/docPropsVTypes">dGFcXHUwMDIyOlxcdTAwMjJcXHUwMDIyLFxcdTAwMjJHVkZvb3RlckV4aXN0c1xcdTAwMjI6ZmFsc2UsXFx1MDAyMk5vbkdWRm9vdGVyRXhpc3RzXFx1MDAyMjpmYWxzZSxcXHUwMDIyRmxvYXRpbmdGb290ZXJFeGlzdHNcXHUwMDIyOmZhbHNlLFxcdTAwMjJOb25H</vt:lpwstr>
  </property>
  <property name="GVData6" fmtid="{D5CDD505-2E9C-101B-9397-08002B2CF9AE}" pid="15">
    <vt:lpwstr xmlns:vt="http://schemas.openxmlformats.org/officeDocument/2006/docPropsVTypes">VkZvb3RlclNoYXBlRXhpc3RzXFx1MDAyMjpmYWxzZSxcXHUwMDIyVGhpcmRQYXJ0eUZvb3RlcnNcXHUwMDIyOltdLFxcdTAwMjJXYXRlcm1hcmtNZXRhZGF0YVxcdTAwMjI6XFx1MDAyMlxcdTAwMjIsXFx1MDAyMldhdGVybWFya0V4aXN0c1xcdTAwMjI6ZmFsc2Us</vt:lpwstr>
  </property>
  <property name="GVData7" fmtid="{D5CDD505-2E9C-101B-9397-08002B2CF9AE}" pid="16">
    <vt:lpwstr xmlns:vt="http://schemas.openxmlformats.org/officeDocument/2006/docPropsVTypes">XFx1MDAyMlBvd2VycG9pbnRUaXRsZU1ldGFkYXRhXFx1MDAyMjpudWxsLFxcdTAwMjJQb3dlcnBvaW50U3VidGl0bGVNZXRhZGF0YVxcdTAwMjI6bnVsbCxcXHUwMDIyVGhpcmRQYXJ0eU1ldGFkYXRhRm91bmRcXHUwMDIyOmZhbHNlfVx1MDAyMixcclxuICBcdTAw</vt:lpwstr>
  </property>
  <property name="GVData8" fmtid="{D5CDD505-2E9C-101B-9397-08002B2CF9AE}" pid="17">
    <vt:lpwstr xmlns:vt="http://schemas.openxmlformats.org/officeDocument/2006/docPropsVTypes">MjJGb290ZXJcdTAwMjI6IFx1MDAyMntcXHUwMDIyTGVmdFxcdTAwMjI6XFx1MDAyMlxcdTAwMjIsXFx1MDAyMkNlbnRlclxcdTAwMjI6XFx1MDAyMkNsYXNzaWZpY2F0aW9uOiBPcGVuXFx1MDAyMixcXHUwMDIyUmlnaHRcXHUwMDIyOlxcdTAwMjJcXHUwMDIyfVx1</vt:lpwstr>
  </property>
  <property name="GVData9" fmtid="{D5CDD505-2E9C-101B-9397-08002B2CF9AE}" pid="18">
    <vt:lpwstr xmlns:vt="http://schemas.openxmlformats.org/officeDocument/2006/docPropsVTypes">MDAyMixcclxuICBcdTAwMjJPcHRpb25zXHUwMDIyOiBcdTAwMjJ7XFx1MDAyMlBvcHVwQ29uZmlndXJhdGlvblxcdTAwMjI6e1xcdTAwMjJBbHdheXNTaG93UG9wdXBcXHUwMDIyOmZhbHNlLFxcdTAwMjJFbmZvcmNlSGVhZGVyRm9vdGVyVHlwZVxcdTAwMjI6ZmFs</vt:lpwstr>
  </property>
  <property name="Classification_guid" fmtid="{D5CDD505-2E9C-101B-9397-08002B2CF9AE}" pid="19">
    <vt:lpwstr xmlns:vt="http://schemas.openxmlformats.org/officeDocument/2006/docPropsVTypes">13d38db9-2856-70ed-377c-2844870099bd</vt:lpwstr>
  </property>
  <property name="GVData10" fmtid="{D5CDD505-2E9C-101B-9397-08002B2CF9AE}" pid="20">
    <vt:lpwstr xmlns:vt="http://schemas.openxmlformats.org/officeDocument/2006/docPropsVTypes">c2UsXFx1MDAyMkhlYWRlclBsYWNlbWVudFR5cGVcXHUwMDIyOjAsXFx1MDAyMkZvb3RlclBsYWNlbWVudFR5cGVcXHUwMDIyOjAsXFx1MDAyMkVuZm9yY2VMYXlvdXRPcHRpb25cXHUwMDIyOnRydWUsXFx1MDAyMkxheW91dE9wdGlvblxcdTAwMjI6MyxcXHUwMDIy</vt:lpwstr>
  </property>
  <property name="GVData11" fmtid="{D5CDD505-2E9C-101B-9397-08002B2CF9AE}" pid="21">
    <vt:lpwstr xmlns:vt="http://schemas.openxmlformats.org/officeDocument/2006/docPropsVTypes">VHJpZ2dlck51bWJlclxcdTAwMjI6MCxcXHUwMDIyRnJvbUluZGV4XFx1MDAyMjoxLFxcdTAwMjJUb0luZGV4XFx1MDAyMjoxLFxcdTAwMjJFbmZvcmNlT3ZlcndyaXRlT3B0aW9uXFx1MDAyMjp0cnVlLFxcdTAwMjJPdmVyd3JpdGVPcHRpb25cXHUwMDIyOjB9LFxc</vt:lpwstr>
  </property>
  <property name="GVData12" fmtid="{D5CDD505-2E9C-101B-9397-08002B2CF9AE}" pid="22">
    <vt:lpwstr xmlns:vt="http://schemas.openxmlformats.org/officeDocument/2006/docPropsVTypes">dTAwMjJIZWFkZXJFbmFibGVkXFx1MDAyMjpmYWxzZSxcXHUwMDIySGVhZGVyXFx1MDAyMjpcXHUwMDIyXFx1MDAyMixcXHUwMDIySGVhZGVyc1xcdTAwMjI6W10sXFx1MDAyMkhlYWRlclR5cGVcXHUwMDIyOjIsXFx1MDAyMkhlYWRlclR5cGVzQWxsb3dlZFxcdTAw</vt:lpwstr>
  </property>
  <property name="GVData13" fmtid="{D5CDD505-2E9C-101B-9397-08002B2CF9AE}" pid="23">
    <vt:lpwstr xmlns:vt="http://schemas.openxmlformats.org/officeDocument/2006/docPropsVTypes">MjI6WzJdLFxcdTAwMjJIZWFkZXJVcGRhdGVUeXBlXFx1MDAyMjowLFxcdTAwMjJGb290ZXJFbmFibGVkXFx1MDAyMjpmYWxzZSxcXHUwMDIyRm9vdGVyXFx1MDAyMjpcXHUwMDIyXFx1MDAyMixcXHUwMDIyRm9vdGVyc1xcdTAwMjI6W10sXFx1MDAyMkZvb3RlclR5</vt:lpwstr>
  </property>
  <property name="GVData14" fmtid="{D5CDD505-2E9C-101B-9397-08002B2CF9AE}" pid="24">
    <vt:lpwstr xmlns:vt="http://schemas.openxmlformats.org/officeDocument/2006/docPropsVTypes">cGVcXHUwMDIyOjIsXFx1MDAyMkZvb3RlclR5cGVzQWxsb3dlZFxcdTAwMjI6WzJdLFxcdTAwMjJGb290ZXJVcGRhdGVUeXBlXFx1MDAyMjowLFxcdTAwMjJXYXRlcm1hcmtcXHUwMDIyOm51bGwsXFx1MDAyMldhdGVybWFya0VuYWJsZWRcXHUwMDIyOmZhbHNlLFxc</vt:lpwstr>
  </property>
  <property name="GVData15" fmtid="{D5CDD505-2E9C-101B-9397-08002B2CF9AE}" pid="25">
    <vt:lpwstr xmlns:vt="http://schemas.openxmlformats.org/officeDocument/2006/docPropsVTypes">dTAwMjJTaG91bGRXcml0ZVdhdGVybWFya1xcdTAwMjI6ZmFsc2UsXFx1MDAyMldhdGVybWFya1VwZGF0ZVR5cGVcXHUwMDIyOjAsXFx1MDAyMlBvd2VycG9pbnRUaXRsZVxcdTAwMjI6bnVsbCxcXHUwMDIyUG93ZXJwb2ludFN1Yml0bGVcXHUwMDIyOm51bGx9XHUw</vt:lpwstr>
  </property>
  <property name="GVData16" fmtid="{D5CDD505-2E9C-101B-9397-08002B2CF9AE}" pid="26">
    <vt:lpwstr xmlns:vt="http://schemas.openxmlformats.org/officeDocument/2006/docPropsVTypes">MDIyLFxyXG4gIFx1MDAyMlN0YXRlXHUwMDIyOiBcdTAwMjJ7XFx1MDAyMkZpcnN0UGFnZURpZmZlcmVudFxcdTAwMjI6ZmFsc2UsXFx1MDAyMkRpZmZlcmVudE9kZEFuZEV2ZW5QYWdlc1xcdTAwMjI6ZmFsc2UsXFx1MDAyMlBhZ2VDb3VudFxcdTAwMjI6MTIsXFx1</vt:lpwstr>
  </property>
  <property name="GVData17" fmtid="{D5CDD505-2E9C-101B-9397-08002B2CF9AE}" pid="27">
    <vt:lpwstr xmlns:vt="http://schemas.openxmlformats.org/officeDocument/2006/docPropsVTypes">MDAyMkhlYWRlck1ldGFkYXRhXFx1MDAyMjpcXHUwMDIyXFx1MDAyMixcXHUwMDIyVGhpcmRQYXJ0eUhlYWRlck1ldGFkYXRhXFx1MDAyMjpcXHUwMDIyXFx1MDAyMixcXHUwMDIyR1ZIZWFkZXJFeGlzdHNcXHUwMDIyOmZhbHNlLFxcdTAwMjJOb25HVkhlYWRlckV4</vt:lpwstr>
  </property>
  <property name="GVData18" fmtid="{D5CDD505-2E9C-101B-9397-08002B2CF9AE}" pid="28">
    <vt:lpwstr xmlns:vt="http://schemas.openxmlformats.org/officeDocument/2006/docPropsVTypes">aXN0c1xcdTAwMjI6ZmFsc2UsXFx1MDAyMkZsb2F0aW5nSGVhZGVyRXhpc3RzXFx1MDAyMjpmYWxzZSxcXHUwMDIyTm9uR1ZIZWFkZXJTaGFwZUV4aXN0c1xcdTAwMjI6ZmFsc2UsXFx1MDAyMlRoaXJkUGFydHlIZWFkZXJzXFx1MDAyMjpbXSxcXHUwMDIyRm9vdGVy</vt:lpwstr>
  </property>
  <property name="GVData19" fmtid="{D5CDD505-2E9C-101B-9397-08002B2CF9AE}" pid="29">
    <vt:lpwstr xmlns:vt="http://schemas.openxmlformats.org/officeDocument/2006/docPropsVTypes">TWV0YWRhdGFcXHUwMDIyOlxcdTAwMjJ7XFxcXFxcdTAwMjJMZWZ0XFxcXFxcdTAwMjI6XFxcXFxcdTAwMjJcXFxcXFx1MDAyMixcXFxcXFx1MDAyMkNlbnRlclxcXFxcXHUwMDIyOlxcXFxcXHUwMDIyQ2xhc3NpZmljYXRpb246IE9wZW5cXFxcXFx1MDAyMixcXFxc</vt:lpwstr>
  </property>
  <property name="GVData20" fmtid="{D5CDD505-2E9C-101B-9397-08002B2CF9AE}" pid="30">
    <vt:lpwstr xmlns:vt="http://schemas.openxmlformats.org/officeDocument/2006/docPropsVTypes">XFx1MDAyMlJpZ2h0XFxcXFxcdTAwMjI6XFxcXFxcdTAwMjJcXFxcXFx1MDAyMn1cXHUwMDIyLFxcdTAwMjJUaGlyZFBhcnR5Rm9vdGVyTWV0YWRhdGFcXHUwMDIyOlxcdTAwMjJcXHUwMDIyLFxcdTAwMjJHVkZvb3RlckV4aXN0c1xcdTAwMjI6ZmFsc2UsXFx1MDAy</vt:lpwstr>
  </property>
  <property name="GVData21" fmtid="{D5CDD505-2E9C-101B-9397-08002B2CF9AE}" pid="31">
    <vt:lpwstr xmlns:vt="http://schemas.openxmlformats.org/officeDocument/2006/docPropsVTypes">Mk5vbkdWRm9vdGVyRXhpc3RzXFx1MDAyMjpmYWxzZSxcXHUwMDIyRmxvYXRpbmdGb290ZXJFeGlzdHNcXHUwMDIyOmZhbHNlLFxcdTAwMjJOb25HVkZvb3RlclNoYXBlRXhpc3RzXFx1MDAyMjpmYWxzZSxcXHUwMDIyVGhpcmRQYXJ0eUZvb3RlcnNcXHUwMDIyOltd</vt:lpwstr>
  </property>
  <property name="GVData22" fmtid="{D5CDD505-2E9C-101B-9397-08002B2CF9AE}" pid="32">
    <vt:lpwstr xmlns:vt="http://schemas.openxmlformats.org/officeDocument/2006/docPropsVTypes">LFxcdTAwMjJXYXRlcm1hcmtNZXRhZGF0YVxcdTAwMjI6XFx1MDAyMlxcdTAwMjIsXFx1MDAyMldhdGVybWFya0V4aXN0c1xcdTAwMjI6ZmFsc2UsXFx1MDAyMlBvd2VycG9pbnRUaXRsZU1ldGFkYXRhXFx1MDAyMjpudWxsLFxcdTAwMjJQb3dlcnBvaW50U3VidGl0</vt:lpwstr>
  </property>
  <property name="GVData23" fmtid="{D5CDD505-2E9C-101B-9397-08002B2CF9AE}" pid="33">
    <vt:lpwstr xmlns:vt="http://schemas.openxmlformats.org/officeDocument/2006/docPropsVTypes">bGVNZXRhZGF0YVxcdTAwMjI6bnVsbCxcXHUwMDIyVGhpcmRQYXJ0eU1ldGFkYXRhRm91bmRcXHUwMDIyOmZhbHNlfVx1MDAyMlxyXG59IiwNCiAgImxpbmVJZCI6ICJhNDgxN2E0Ny0zZGM1LTRmZDYtYjlkOS0xNTdkODRiN2U3MzYiLA0KICAicGFyZW50TGluZUlk</vt:lpwstr>
  </property>
  <property name="GVData24" fmtid="{D5CDD505-2E9C-101B-9397-08002B2CF9AE}" pid="34">
    <vt:lpwstr xmlns:vt="http://schemas.openxmlformats.org/officeDocument/2006/docPropsVTypes">cyI6ICJbXHUwMDIyZjE2ZjQzZGYtYjc5My00MDM2LWIxZTgtM2YwZDIyY2YzNGQ1XHUwMDIyLFx1MDAyMmNjZGFhNDliLTg2MzItNDJlMy1hNTI2LTNhY2IxMTM1M2ZlYlx1MDAyMixcdTAwMjIzZWViM2I4Yi1hZjYwLTRjNDQtOWVmOS0zYzA4OTM3YTZjZmFcdTAw</vt:lpwstr>
  </property>
  <property name="GVData25" fmtid="{D5CDD505-2E9C-101B-9397-08002B2CF9AE}" pid="35">
    <vt:lpwstr xmlns:vt="http://schemas.openxmlformats.org/officeDocument/2006/docPropsVTypes">MjIsXHUwMDIyZjkyN2RiZTUtYmYwMC00M2NlLThkZDQtZWQ0OGEyN2MzODlhXHUwMDIyLFx1MDAyMjNlZjcxNDdiLWMzYjMtNGQ0MC04YWY1LTE4MTQwYTU1YmY0MVx1MDAyMixcdTAwMjJmZGNhMjE3Yy05OWFiLTRhMGYtYjRiMS03YmIyMjA2M2IyMjNcdTAwMjIs</vt:lpwstr>
  </property>
  <property name="GVData26" fmtid="{D5CDD505-2E9C-101B-9397-08002B2CF9AE}" pid="36">
    <vt:lpwstr xmlns:vt="http://schemas.openxmlformats.org/officeDocument/2006/docPropsVTypes">XHUwMDIyNWY0OGFlZTgtZjdhNS00Njc3LThlYmYtZjIxMTJkZWEwYWY5XHUwMDIyLFx1MDAyMjI0ZGNkYTc2LThiNzYtNDU0YS04MGJkLWUxNTg2ZGEzNjdhOVx1MDAyMixcdTAwMjJhYWIxMDY1Yi00ZjA2LTRjNGYtODg2Ny1hZTY5ZGY4MzJiNWZcdTAwMjIsXHUw</vt:lpwstr>
  </property>
  <property name="GVData27" fmtid="{D5CDD505-2E9C-101B-9397-08002B2CF9AE}" pid="37">
    <vt:lpwstr xmlns:vt="http://schemas.openxmlformats.org/officeDocument/2006/docPropsVTypes">MDIyYmU4MWY0M2YtODY4OS00ZDE0LWJmMTQtMmUzODBhZTFiZmE1XHUwMDIyXSINCn0=</vt:lpwstr>
  </property>
  <property name="GVData28" fmtid="{D5CDD505-2E9C-101B-9397-08002B2CF9AE}" pid="38">
    <vt:lpwstr xmlns:vt="http://schemas.openxmlformats.org/officeDocument/2006/docPropsVTypes">(end)</vt:lpwstr>
  </property>
  <property name="GVData29" fmtid="{D5CDD505-2E9C-101B-9397-08002B2CF9AE}" pid="39">
    <vt:lpwstr xmlns:vt="http://schemas.openxmlformats.org/officeDocument/2006/docPropsVTypes">Yy00ODQzLWI0MzItNWE3MzFhMmVmYTlmXHUwMDIyLFx1MDAyMmQyNDNmN2Q1LWE0ZWMtNGUwNi1iNGY0LTQyYTUyZDZjMzZkOFx1MDAyMixcdTAwMjI5Y2Q3ZmI0Ny0wYzVjLTQ4NDUtOTJlOC1hNzYzZjA4ZTJkN2RcdTAwMjJdIg0KfQ==</vt:lpwstr>
  </property>
  <property name="GVData30" fmtid="{D5CDD505-2E9C-101B-9397-08002B2CF9AE}" pid="40">
    <vt:lpwstr xmlns:vt="http://schemas.openxmlformats.org/officeDocument/2006/docPropsVTypes">(end)</vt:lpwstr>
  </property>
</Properties>
</file>